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sheets/sheet11.xml" ContentType="application/vnd.openxmlformats-officedocument.spreadsheetml.worksheet+xml"/>
  <Override PartName="/xl/drawings/drawing6.xml" ContentType="application/vnd.openxmlformats-officedocument.drawing+xml"/>
  <Override PartName="/xl/worksheets/sheet12.xml" ContentType="application/vnd.openxmlformats-officedocument.spreadsheetml.worksheet+xml"/>
  <Override PartName="/xl/drawings/drawing7.xml" ContentType="application/vnd.openxmlformats-officedocument.drawing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drawings/drawing8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10000" windowHeight="17980" tabRatio="600" firstSheet="4" activeTab="0" autoFilterDateGrouping="1"/>
  </bookViews>
  <sheets>
    <sheet xmlns:r="http://schemas.openxmlformats.org/officeDocument/2006/relationships" name="Obesity Medicin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rovider Prices" sheetId="3" state="visible" r:id="rId3"/>
    <sheet xmlns:r="http://schemas.openxmlformats.org/officeDocument/2006/relationships" name="Branded Self-Pay" sheetId="4" state="visible" r:id="rId4"/>
    <sheet xmlns:r="http://schemas.openxmlformats.org/officeDocument/2006/relationships" name="Chart Events" sheetId="5" state="visible" r:id="rId5"/>
    <sheet xmlns:r="http://schemas.openxmlformats.org/officeDocument/2006/relationships" name="Price Concepts" sheetId="6" state="visible" r:id="rId6"/>
    <sheet xmlns:r="http://schemas.openxmlformats.org/officeDocument/2006/relationships" name="Product Universe" sheetId="7" state="visible" r:id="rId7"/>
    <sheet xmlns:r="http://schemas.openxmlformats.org/officeDocument/2006/relationships" name="WAC List Price" sheetId="8" state="visible" r:id="rId8"/>
    <sheet xmlns:r="http://schemas.openxmlformats.org/officeDocument/2006/relationships" name="Savings Offers" sheetId="9" state="visible" r:id="rId9"/>
    <sheet xmlns:r="http://schemas.openxmlformats.org/officeDocument/2006/relationships" name="Government Prices" sheetId="10" state="visible" r:id="rId10"/>
    <sheet xmlns:r="http://schemas.openxmlformats.org/officeDocument/2006/relationships" name="Company Statements" sheetId="11" state="visible" r:id="rId11"/>
    <sheet xmlns:r="http://schemas.openxmlformats.org/officeDocument/2006/relationships" name="Bloomberg Capture" sheetId="12" state="visible" r:id="rId12"/>
    <sheet xmlns:r="http://schemas.openxmlformats.org/officeDocument/2006/relationships" name="Sources &amp; Method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yyyy\-mm\-dd"/>
    <numFmt numFmtId="166" formatCode="\$#,##0.00"/>
    <numFmt numFmtId="167" formatCode="\$#,##0"/>
    <numFmt numFmtId="168" formatCode="0.0"/>
    <numFmt numFmtId="169" formatCode="[$-F800]dddd\,\ mmmm\ dd\,\ yyyy"/>
    <numFmt numFmtId="170" formatCode="$#,##0.00"/>
  </numFmts>
  <fonts count="20">
    <font>
      <name val="Carlito"/>
      <sz val="11"/>
    </font>
    <font>
      <name val="Arial"/>
      <family val="2"/>
      <b val="1"/>
      <color rgb="FFFFFFFF"/>
      <sz val="10"/>
    </font>
    <font>
      <name val="Arial"/>
      <family val="2"/>
      <color rgb="FF12212F"/>
      <sz val="10"/>
    </font>
    <font>
      <name val="Arial"/>
      <family val="2"/>
      <b val="1"/>
      <color rgb="FFFFFFFF"/>
      <sz val="18"/>
    </font>
    <font>
      <name val="Arial"/>
      <family val="2"/>
      <i val="1"/>
      <color rgb="FF102A43"/>
      <sz val="10"/>
    </font>
    <font>
      <name val="Arial"/>
      <family val="2"/>
      <b val="1"/>
      <color rgb="FFFFFFFF"/>
      <sz val="11"/>
    </font>
    <font>
      <name val="Arial"/>
      <family val="2"/>
      <b val="1"/>
      <color rgb="FFFFFFFF"/>
      <sz val="9"/>
    </font>
    <font>
      <name val="Arial"/>
      <family val="2"/>
      <color rgb="FF102A43"/>
      <sz val="9"/>
    </font>
    <font>
      <name val="Arial"/>
      <family val="2"/>
      <color rgb="FF102A43"/>
      <sz val="10"/>
    </font>
    <font>
      <name val="Arial"/>
      <family val="2"/>
      <b val="1"/>
      <color rgb="FF163A5F"/>
      <sz val="10"/>
    </font>
    <font>
      <name val="Arial"/>
      <family val="2"/>
      <i val="1"/>
      <color theme="0"/>
      <sz val="10"/>
    </font>
    <font>
      <name val="Carlito"/>
      <color theme="0"/>
      <sz val="11"/>
    </font>
    <font>
      <name val="Carlito"/>
      <sz val="8"/>
    </font>
    <font>
      <name val="Carlito"/>
      <b val="1"/>
      <sz val="11"/>
    </font>
    <font>
      <name val="Carlito"/>
      <b val="1"/>
      <color theme="0"/>
      <sz val="11"/>
    </font>
    <font>
      <name val="Arial"/>
      <family val="2"/>
      <b val="1"/>
      <color theme="0"/>
      <sz val="16"/>
    </font>
    <font>
      <name val="Arial"/>
      <family val="2"/>
      <b val="1"/>
      <color theme="0"/>
      <sz val="9"/>
    </font>
    <font>
      <b val="1"/>
      <color rgb="001F2D45"/>
      <sz val="14"/>
    </font>
    <font>
      <b val="1"/>
    </font>
    <font>
      <b val="1"/>
      <color rgb="00FFFFFF"/>
    </font>
  </fonts>
  <fills count="18">
    <fill>
      <patternFill/>
    </fill>
    <fill>
      <patternFill patternType="gray125"/>
    </fill>
    <fill>
      <patternFill patternType="solid">
        <fgColor rgb="FF0B2942"/>
      </patternFill>
    </fill>
    <fill>
      <patternFill patternType="solid">
        <fgColor rgb="FF0B1F3A"/>
      </patternFill>
    </fill>
    <fill>
      <patternFill patternType="solid">
        <fgColor rgb="FFEAF5F8"/>
      </patternFill>
    </fill>
    <fill>
      <patternFill patternType="solid">
        <fgColor rgb="FF163A5F"/>
      </patternFill>
    </fill>
    <fill>
      <patternFill patternType="solid">
        <fgColor rgb="FF00A6C8"/>
      </patternFill>
    </fill>
    <fill>
      <patternFill patternType="solid">
        <fgColor rgb="FFF5F8FA"/>
      </patternFill>
    </fill>
    <fill>
      <patternFill patternType="solid">
        <fgColor rgb="FFF59E0B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3" tint="0.0999786370433668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001F2D45"/>
      </patternFill>
    </fill>
    <fill>
      <patternFill patternType="solid">
        <fgColor rgb="00F4F6F9"/>
      </patternFill>
    </fill>
  </fills>
  <borders count="11">
    <border>
      <left/>
      <right/>
      <top/>
      <bottom/>
      <diagonal/>
    </border>
    <border>
      <left/>
      <right/>
      <top/>
      <bottom style="thin">
        <color rgb="FFD9E0E5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D8E3EA"/>
      </left>
      <right style="thin">
        <color rgb="FFD8E3EA"/>
      </right>
      <top style="thin">
        <color rgb="FFD8E3EA"/>
      </top>
      <bottom style="thin">
        <color rgb="FFD8E3EA"/>
      </bottom>
      <diagonal/>
    </border>
    <border>
      <left/>
      <right/>
      <top style="thin">
        <color rgb="FFD8E3EA"/>
      </top>
      <bottom/>
      <diagonal/>
    </border>
    <border>
      <left/>
      <right style="thin">
        <color rgb="FFD8E3EA"/>
      </right>
      <top style="thin">
        <color rgb="FFD8E3EA"/>
      </top>
      <bottom/>
      <diagonal/>
    </border>
    <border>
      <left/>
      <right/>
      <top style="thin">
        <color rgb="FFD8E3EA"/>
      </top>
      <bottom style="thin">
        <color rgb="FFD8E3EA"/>
      </bottom>
      <diagonal/>
    </border>
    <border>
      <left/>
      <right style="thin">
        <color rgb="FFD8E3EA"/>
      </right>
      <top style="thin">
        <color rgb="FFD8E3EA"/>
      </top>
      <bottom style="thin">
        <color rgb="FFD8E3EA"/>
      </bottom>
      <diagonal/>
    </border>
    <border>
      <bottom style="thin">
        <color rgb="00D5D9E0"/>
      </bottom>
    </border>
  </borders>
  <cellStyleXfs count="1">
    <xf numFmtId="0" fontId="0" fillId="0" borderId="0"/>
  </cellStyleXfs>
  <cellXfs count="95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" fontId="2" fillId="0" borderId="0" applyAlignment="1" pivotButton="0" quotePrefix="0" xfId="0">
      <alignment vertical="center"/>
    </xf>
    <xf numFmtId="1" fontId="2" fillId="0" borderId="1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0" fontId="6" fillId="6" borderId="5" applyAlignment="1" pivotButton="0" quotePrefix="0" xfId="0">
      <alignment vertical="center" wrapText="1"/>
    </xf>
    <xf numFmtId="0" fontId="7" fillId="0" borderId="5" applyAlignment="1" pivotButton="0" quotePrefix="0" xfId="0">
      <alignment wrapText="1"/>
    </xf>
    <xf numFmtId="0" fontId="7" fillId="0" borderId="5" applyAlignment="1" pivotButton="0" quotePrefix="0" xfId="0">
      <alignment vertical="top" wrapText="1"/>
    </xf>
    <xf numFmtId="0" fontId="7" fillId="7" borderId="5" applyAlignment="1" pivotButton="0" quotePrefix="0" xfId="0">
      <alignment vertical="top" wrapText="1"/>
    </xf>
    <xf numFmtId="166" fontId="7" fillId="0" borderId="5" applyAlignment="1" pivotButton="0" quotePrefix="0" xfId="0">
      <alignment vertical="top" wrapText="1"/>
    </xf>
    <xf numFmtId="166" fontId="7" fillId="7" borderId="5" applyAlignment="1" pivotButton="0" quotePrefix="0" xfId="0">
      <alignment vertical="top" wrapText="1"/>
    </xf>
    <xf numFmtId="9" fontId="7" fillId="0" borderId="5" applyAlignment="1" pivotButton="0" quotePrefix="0" xfId="0">
      <alignment vertical="top" wrapText="1"/>
    </xf>
    <xf numFmtId="9" fontId="7" fillId="7" borderId="5" applyAlignment="1" pivotButton="0" quotePrefix="0" xfId="0">
      <alignment vertical="top" wrapText="1"/>
    </xf>
    <xf numFmtId="0" fontId="5" fillId="6" borderId="5" pivotButton="0" quotePrefix="0" xfId="0"/>
    <xf numFmtId="167" fontId="0" fillId="0" borderId="0" pivotButton="0" quotePrefix="0" xfId="0"/>
    <xf numFmtId="0" fontId="9" fillId="0" borderId="5" applyAlignment="1" pivotButton="0" quotePrefix="0" xfId="0">
      <alignment wrapText="1"/>
    </xf>
    <xf numFmtId="165" fontId="7" fillId="0" borderId="5" applyAlignment="1" pivotButton="0" quotePrefix="0" xfId="0">
      <alignment vertical="top" wrapText="1"/>
    </xf>
    <xf numFmtId="165" fontId="7" fillId="7" borderId="5" applyAlignment="1" pivotButton="0" quotePrefix="0" xfId="0">
      <alignment vertical="top" wrapText="1"/>
    </xf>
    <xf numFmtId="9" fontId="0" fillId="0" borderId="0" pivotButton="0" quotePrefix="0" xfId="0"/>
    <xf numFmtId="168" fontId="7" fillId="0" borderId="5" applyAlignment="1" pivotButton="0" quotePrefix="0" xfId="0">
      <alignment vertical="top" wrapText="1"/>
    </xf>
    <xf numFmtId="168" fontId="7" fillId="7" borderId="5" applyAlignment="1" pivotButton="0" quotePrefix="0" xfId="0">
      <alignment vertical="top" wrapText="1"/>
    </xf>
    <xf numFmtId="0" fontId="5" fillId="8" borderId="0" applyAlignment="1" pivotButton="0" quotePrefix="0" xfId="0">
      <alignment wrapText="1"/>
    </xf>
    <xf numFmtId="0" fontId="0" fillId="9" borderId="0" pivotButton="0" quotePrefix="0" xfId="0"/>
    <xf numFmtId="0" fontId="11" fillId="9" borderId="0" pivotButton="0" quotePrefix="0" xfId="0"/>
    <xf numFmtId="0" fontId="8" fillId="0" borderId="5" applyAlignment="1" pivotButton="0" quotePrefix="0" xfId="0">
      <alignment wrapText="1"/>
    </xf>
    <xf numFmtId="0" fontId="3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vertical="center" wrapText="1"/>
    </xf>
    <xf numFmtId="0" fontId="5" fillId="5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7" fillId="0" borderId="5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7" fillId="0" borderId="5" applyAlignment="1" pivotButton="0" quotePrefix="0" xfId="0">
      <alignment vertical="top" wrapText="1"/>
    </xf>
    <xf numFmtId="0" fontId="0" fillId="0" borderId="0" pivotButton="0" quotePrefix="0" xfId="0"/>
    <xf numFmtId="0" fontId="7" fillId="7" borderId="5" applyAlignment="1" pivotButton="0" quotePrefix="0" xfId="0">
      <alignment vertical="top" wrapText="1"/>
    </xf>
    <xf numFmtId="0" fontId="5" fillId="8" borderId="0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0" fillId="10" borderId="0" pivotButton="0" quotePrefix="0" xfId="0"/>
    <xf numFmtId="0" fontId="11" fillId="10" borderId="0" pivotButton="0" quotePrefix="0" xfId="0"/>
    <xf numFmtId="0" fontId="11" fillId="10" borderId="0" pivotButton="0" quotePrefix="0" xfId="0"/>
    <xf numFmtId="169" fontId="7" fillId="0" borderId="5" applyAlignment="1" pivotButton="0" quotePrefix="0" xfId="0">
      <alignment vertical="top" wrapText="1"/>
    </xf>
    <xf numFmtId="169" fontId="7" fillId="7" borderId="5" applyAlignment="1" pivotButton="0" quotePrefix="0" xfId="0">
      <alignment vertical="top" wrapText="1"/>
    </xf>
    <xf numFmtId="0" fontId="13" fillId="0" borderId="0" pivotButton="0" quotePrefix="0" xfId="0"/>
    <xf numFmtId="0" fontId="14" fillId="10" borderId="0" pivotButton="0" quotePrefix="0" xfId="0"/>
    <xf numFmtId="0" fontId="14" fillId="9" borderId="0" pivotButton="0" quotePrefix="0" xfId="0"/>
    <xf numFmtId="0" fontId="0" fillId="11" borderId="0" applyAlignment="1" pivotButton="0" quotePrefix="0" xfId="0">
      <alignment wrapText="1"/>
    </xf>
    <xf numFmtId="0" fontId="0" fillId="11" borderId="0" pivotButton="0" quotePrefix="0" xfId="0"/>
    <xf numFmtId="0" fontId="13" fillId="11" borderId="0" pivotButton="0" quotePrefix="0" xfId="0"/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vertical="center" wrapText="1"/>
    </xf>
    <xf numFmtId="0" fontId="13" fillId="12" borderId="0" pivotButton="0" quotePrefix="0" xfId="0"/>
    <xf numFmtId="0" fontId="14" fillId="12" borderId="0" pivotButton="0" quotePrefix="0" xfId="0"/>
    <xf numFmtId="0" fontId="0" fillId="13" borderId="0" pivotButton="0" quotePrefix="0" xfId="0"/>
    <xf numFmtId="0" fontId="13" fillId="13" borderId="0" pivotButton="0" quotePrefix="0" xfId="0"/>
    <xf numFmtId="0" fontId="14" fillId="14" borderId="0" pivotButton="0" quotePrefix="0" xfId="0"/>
    <xf numFmtId="0" fontId="0" fillId="14" borderId="0" pivotButton="0" quotePrefix="0" xfId="0"/>
    <xf numFmtId="9" fontId="0" fillId="11" borderId="0" pivotButton="0" quotePrefix="0" xfId="0"/>
    <xf numFmtId="0" fontId="6" fillId="10" borderId="5" applyAlignment="1" pivotButton="0" quotePrefix="0" xfId="0">
      <alignment vertical="center" wrapText="1"/>
    </xf>
    <xf numFmtId="0" fontId="5" fillId="10" borderId="0" pivotButton="0" quotePrefix="0" xfId="0"/>
    <xf numFmtId="0" fontId="5" fillId="10" borderId="0" applyAlignment="1" pivotButton="0" quotePrefix="0" xfId="0">
      <alignment vertical="center"/>
    </xf>
    <xf numFmtId="0" fontId="6" fillId="14" borderId="5" applyAlignment="1" pivotButton="0" quotePrefix="0" xfId="0">
      <alignment vertical="center" wrapText="1"/>
    </xf>
    <xf numFmtId="0" fontId="0" fillId="15" borderId="0" pivotButton="0" quotePrefix="0" xfId="0"/>
    <xf numFmtId="0" fontId="6" fillId="15" borderId="5" applyAlignment="1" pivotButton="0" quotePrefix="0" xfId="0">
      <alignment vertical="center" wrapText="1"/>
    </xf>
    <xf numFmtId="0" fontId="10" fillId="15" borderId="0" pivotButton="0" quotePrefix="0" xfId="0"/>
    <xf numFmtId="0" fontId="11" fillId="15" borderId="0" pivotButton="0" quotePrefix="0" xfId="0"/>
    <xf numFmtId="0" fontId="15" fillId="15" borderId="0" pivotButton="0" quotePrefix="0" xfId="0"/>
    <xf numFmtId="0" fontId="16" fillId="9" borderId="5" applyAlignment="1" pivotButton="0" quotePrefix="0" xfId="0">
      <alignment vertical="center" wrapText="1"/>
    </xf>
    <xf numFmtId="0" fontId="5" fillId="9" borderId="5" pivotButton="0" quotePrefix="0" xfId="0"/>
    <xf numFmtId="0" fontId="6" fillId="9" borderId="5" applyAlignment="1" pivotButton="0" quotePrefix="0" xfId="0">
      <alignment vertical="center" wrapText="1"/>
    </xf>
    <xf numFmtId="0" fontId="6" fillId="9" borderId="5" applyAlignment="1" pivotButton="0" quotePrefix="0" xfId="0">
      <alignment vertical="center" wrapText="1"/>
    </xf>
    <xf numFmtId="0" fontId="0" fillId="9" borderId="0" pivotButton="0" quotePrefix="0" xfId="0"/>
    <xf numFmtId="0" fontId="5" fillId="9" borderId="0" pivotButton="0" quotePrefix="0" xfId="0"/>
    <xf numFmtId="0" fontId="0" fillId="0" borderId="8" pivotButton="0" quotePrefix="0" xfId="0"/>
    <xf numFmtId="0" fontId="0" fillId="0" borderId="9" pivotButton="0" quotePrefix="0" xfId="0"/>
    <xf numFmtId="169" fontId="7" fillId="0" borderId="5" applyAlignment="1" pivotButton="0" quotePrefix="0" xfId="0">
      <alignment vertical="top" wrapText="1"/>
    </xf>
    <xf numFmtId="169" fontId="7" fillId="7" borderId="5" applyAlignment="1" pivotButton="0" quotePrefix="0" xfId="0">
      <alignment vertical="top" wrapText="1"/>
    </xf>
    <xf numFmtId="0" fontId="17" fillId="0" borderId="0" pivotButton="0" quotePrefix="0" xfId="0"/>
    <xf numFmtId="0" fontId="18" fillId="0" borderId="0" pivotButton="0" quotePrefix="0" xfId="0"/>
    <xf numFmtId="0" fontId="19" fillId="16" borderId="0" applyAlignment="1" pivotButton="0" quotePrefix="0" xfId="0">
      <alignment vertical="center" wrapText="1"/>
    </xf>
    <xf numFmtId="0" fontId="0" fillId="0" borderId="10" pivotButton="0" quotePrefix="0" xfId="0"/>
    <xf numFmtId="170" fontId="0" fillId="0" borderId="10" pivotButton="0" quotePrefix="0" xfId="0"/>
    <xf numFmtId="0" fontId="0" fillId="17" borderId="10" pivotButton="0" quotePrefix="0" xfId="0"/>
    <xf numFmtId="170" fontId="0" fillId="17" borderId="10" pivotButton="0" quotePrefix="0" xfId="0"/>
  </cellXfs>
  <cellStyles count="1">
    <cellStyle name="Normal" xfId="0" builtinId="0"/>
  </cellStyles>
  <dxfs count="3">
    <dxf>
      <font>
        <name val="Carlito"/>
        <b val="1"/>
        <strike val="0"/>
        <outline val="0"/>
        <shadow val="0"/>
        <condense val="0"/>
        <color theme="0"/>
        <extend val="0"/>
        <sz val="11"/>
        <vertAlign val="baseline"/>
      </font>
      <fill>
        <patternFill patternType="solid">
          <fgColor indexed="64"/>
          <bgColor theme="3" tint="0.09997863704336681"/>
        </patternFill>
      </fill>
    </dxf>
    <dxf>
      <font>
        <name val="Carlito"/>
        <b val="1"/>
        <strike val="0"/>
        <outline val="0"/>
        <shadow val="0"/>
        <condense val="0"/>
        <color auto="1"/>
        <extend val="0"/>
        <sz val="11"/>
        <vertAlign val="baseline"/>
      </font>
    </dxf>
    <dxf>
      <font>
        <name val="Carlito"/>
        <b val="1"/>
        <strike val="0"/>
        <outline val="0"/>
        <shadow val="0"/>
        <condense val="0"/>
        <color auto="1"/>
        <extend val="0"/>
        <sz val="11"/>
        <vertAlign val="baseline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CA" sz="900">
                <a:latin typeface="Arial"/>
                <a:ea typeface="Arial"/>
                <a:cs typeface="Arial"/>
              </a:rPr>
              <a:t>Current Eli Lilly WAC vs manufacturer direct cash (USD)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WAC</c:v>
          </c:tx>
          <c:invertIfNegative val="1"/>
          <c:cat>
            <c:strRef>
              <c:f>Summary!$J$6:$J$9</c:f>
              <c:strCache>
                <c:ptCount val="4"/>
                <c:pt idx="0">
                  <c:v>Wegovy</c:v>
                </c:pt>
                <c:pt idx="1">
                  <c:v>Wegovy HD</c:v>
                </c:pt>
                <c:pt idx="2">
                  <c:v>Wegovy tablets</c:v>
                </c:pt>
                <c:pt idx="3">
                  <c:v>Zepbound</c:v>
                </c:pt>
              </c:strCache>
            </c:strRef>
          </c:cat>
          <c:val>
            <c:numRef>
              <c:f>Summary!$K$6:$K$9</c:f>
              <c:numCache>
                <c:formatCode>\$#,##0</c:formatCode>
                <c:ptCount val="4"/>
                <c:pt idx="0">
                  <c:v>1349.02</c:v>
                </c:pt>
                <c:pt idx="1">
                  <c:v>1349.02</c:v>
                </c:pt>
                <c:pt idx="2">
                  <c:v>1349.02</c:v>
                </c:pt>
                <c:pt idx="3">
                  <c:v>1086.3699999999999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58-BF46-B65C-34BF90769880}"/>
            </c:ext>
          </c:extLst>
        </c:ser>
        <c:ser>
          <c:idx val="1"/>
          <c:order val="1"/>
          <c:tx>
            <c:v>Direct cash</c:v>
          </c:tx>
          <c:invertIfNegative val="1"/>
          <c:cat>
            <c:strRef>
              <c:f>Summary!$J$6:$J$9</c:f>
              <c:strCache>
                <c:ptCount val="4"/>
                <c:pt idx="0">
                  <c:v>Wegovy</c:v>
                </c:pt>
                <c:pt idx="1">
                  <c:v>Wegovy HD</c:v>
                </c:pt>
                <c:pt idx="2">
                  <c:v>Wegovy tablets</c:v>
                </c:pt>
                <c:pt idx="3">
                  <c:v>Zepbound</c:v>
                </c:pt>
              </c:strCache>
            </c:strRef>
          </c:cat>
          <c:val>
            <c:numRef>
              <c:f>Summary!$L$6:$L$9</c:f>
              <c:numCache>
                <c:formatCode>\$#,##0</c:formatCode>
                <c:ptCount val="4"/>
                <c:pt idx="0">
                  <c:v>349</c:v>
                </c:pt>
                <c:pt idx="1">
                  <c:v>399</c:v>
                </c:pt>
                <c:pt idx="2">
                  <c:v>149</c:v>
                </c:pt>
                <c:pt idx="3">
                  <c:v>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58-BF46-B65C-34BF907698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 sz="675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CA" sz="900">
                <a:latin typeface="Arial"/>
                <a:ea typeface="Arial"/>
                <a:cs typeface="Arial"/>
              </a:rPr>
              <a:t>Injectable manufacturer cash prices (USD/month)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Zepbound 2.5 mg</c:v>
          </c:tx>
          <c:spPr>
            <a:ln w="19050">
              <a:solidFill>
                <a:srgbClr val="00A6C8"/>
              </a:solidFill>
            </a:ln>
          </c:spPr>
          <c:marker>
            <c:symbol val="none"/>
          </c:marker>
          <c:cat>
            <c:strRef>
              <c:f>'Branded Self-Pay'!$A$46:$A$72</c:f>
              <c:strCache>
                <c:ptCount val="26"/>
                <c:pt idx="0">
                  <c:v>2024-08</c:v>
                </c:pt>
                <c:pt idx="1">
                  <c:v>2024-09</c:v>
                </c:pt>
                <c:pt idx="2">
                  <c:v>2024-10</c:v>
                </c:pt>
                <c:pt idx="3">
                  <c:v>2024-11</c:v>
                </c:pt>
                <c:pt idx="4">
                  <c:v>2024-12</c:v>
                </c:pt>
                <c:pt idx="5">
                  <c:v>2025-01</c:v>
                </c:pt>
                <c:pt idx="6">
                  <c:v>2025-02</c:v>
                </c:pt>
                <c:pt idx="7">
                  <c:v>2025-03</c:v>
                </c:pt>
                <c:pt idx="8">
                  <c:v>2025-04</c:v>
                </c:pt>
                <c:pt idx="9">
                  <c:v>2025-05</c:v>
                </c:pt>
                <c:pt idx="10">
                  <c:v>2025-06</c:v>
                </c:pt>
                <c:pt idx="11">
                  <c:v>2025-07</c:v>
                </c:pt>
                <c:pt idx="12">
                  <c:v>2025-08</c:v>
                </c:pt>
                <c:pt idx="13">
                  <c:v>2025-09</c:v>
                </c:pt>
                <c:pt idx="14">
                  <c:v>2025-10</c:v>
                </c:pt>
                <c:pt idx="15">
                  <c:v>2025-11</c:v>
                </c:pt>
                <c:pt idx="16">
                  <c:v>2025-12</c:v>
                </c:pt>
                <c:pt idx="17">
                  <c:v>2026-01</c:v>
                </c:pt>
                <c:pt idx="18">
                  <c:v>2026-02</c:v>
                </c:pt>
                <c:pt idx="19">
                  <c:v>2026-03</c:v>
                </c:pt>
                <c:pt idx="20">
                  <c:v>2026-04</c:v>
                </c:pt>
                <c:pt idx="21">
                  <c:v>2026-05</c:v>
                </c:pt>
                <c:pt idx="22">
                  <c:v>2026-06</c:v>
                </c:pt>
                <c:pt idx="23">
                  <c:v>2026-07</c:v>
                </c:pt>
                <c:pt idx="24">
                  <c:v>2026-08</c:v>
                </c:pt>
                <c:pt idx="25">
                  <c:v>2026-09</c:v>
                </c:pt>
              </c:strCache>
            </c:strRef>
          </c:cat>
          <c:val>
            <c:numRef>
              <c:f>'Branded Self-Pay'!$B$46:$B$72</c:f>
            </c:numRef>
          </c:val>
          <c:smooth val="0"/>
          <c:extLst>
            <c:ext xmlns:c16="http://schemas.microsoft.com/office/drawing/2014/chart" uri="{C3380CC4-5D6E-409C-BE32-E72D297353CC}">
              <c16:uniqueId val="{00000000-7A1E-A443-811B-6A02630F4133}"/>
            </c:ext>
          </c:extLst>
        </c:ser>
        <c:ser>
          <c:idx val="1"/>
          <c:order val="1"/>
          <c:tx>
            <c:v>Zepbound 5 mg</c:v>
          </c:tx>
          <c:spPr>
            <a:ln w="19050">
              <a:solidFill>
                <a:srgbClr val="0F766E"/>
              </a:solidFill>
            </a:ln>
          </c:spPr>
          <c:marker>
            <c:symbol val="none"/>
          </c:marker>
          <c:cat>
            <c:strRef>
              <c:f>'Branded Self-Pay'!$A$46:$A$72</c:f>
              <c:strCache>
                <c:ptCount val="26"/>
                <c:pt idx="0">
                  <c:v>2024-08</c:v>
                </c:pt>
                <c:pt idx="1">
                  <c:v>2024-09</c:v>
                </c:pt>
                <c:pt idx="2">
                  <c:v>2024-10</c:v>
                </c:pt>
                <c:pt idx="3">
                  <c:v>2024-11</c:v>
                </c:pt>
                <c:pt idx="4">
                  <c:v>2024-12</c:v>
                </c:pt>
                <c:pt idx="5">
                  <c:v>2025-01</c:v>
                </c:pt>
                <c:pt idx="6">
                  <c:v>2025-02</c:v>
                </c:pt>
                <c:pt idx="7">
                  <c:v>2025-03</c:v>
                </c:pt>
                <c:pt idx="8">
                  <c:v>2025-04</c:v>
                </c:pt>
                <c:pt idx="9">
                  <c:v>2025-05</c:v>
                </c:pt>
                <c:pt idx="10">
                  <c:v>2025-06</c:v>
                </c:pt>
                <c:pt idx="11">
                  <c:v>2025-07</c:v>
                </c:pt>
                <c:pt idx="12">
                  <c:v>2025-08</c:v>
                </c:pt>
                <c:pt idx="13">
                  <c:v>2025-09</c:v>
                </c:pt>
                <c:pt idx="14">
                  <c:v>2025-10</c:v>
                </c:pt>
                <c:pt idx="15">
                  <c:v>2025-11</c:v>
                </c:pt>
                <c:pt idx="16">
                  <c:v>2025-12</c:v>
                </c:pt>
                <c:pt idx="17">
                  <c:v>2026-01</c:v>
                </c:pt>
                <c:pt idx="18">
                  <c:v>2026-02</c:v>
                </c:pt>
                <c:pt idx="19">
                  <c:v>2026-03</c:v>
                </c:pt>
                <c:pt idx="20">
                  <c:v>2026-04</c:v>
                </c:pt>
                <c:pt idx="21">
                  <c:v>2026-05</c:v>
                </c:pt>
                <c:pt idx="22">
                  <c:v>2026-06</c:v>
                </c:pt>
                <c:pt idx="23">
                  <c:v>2026-07</c:v>
                </c:pt>
                <c:pt idx="24">
                  <c:v>2026-08</c:v>
                </c:pt>
                <c:pt idx="25">
                  <c:v>2026-09</c:v>
                </c:pt>
              </c:strCache>
            </c:strRef>
          </c:cat>
          <c:val>
            <c:numRef>
              <c:f>'Branded Self-Pay'!$C$46:$C$72</c:f>
            </c:numRef>
          </c:val>
          <c:smooth val="0"/>
          <c:extLst>
            <c:ext xmlns:c16="http://schemas.microsoft.com/office/drawing/2014/chart" uri="{C3380CC4-5D6E-409C-BE32-E72D297353CC}">
              <c16:uniqueId val="{00000001-7A1E-A443-811B-6A02630F4133}"/>
            </c:ext>
          </c:extLst>
        </c:ser>
        <c:ser>
          <c:idx val="2"/>
          <c:order val="2"/>
          <c:tx>
            <c:v>Zepbound 7.5-15 mg Journey</c:v>
          </c:tx>
          <c:spPr>
            <a:ln w="19050">
              <a:solidFill>
                <a:srgbClr val="F59E0B"/>
              </a:solidFill>
            </a:ln>
          </c:spPr>
          <c:marker>
            <c:symbol val="none"/>
          </c:marker>
          <c:cat>
            <c:strRef>
              <c:f>'Branded Self-Pay'!$A$46:$A$72</c:f>
              <c:strCache>
                <c:ptCount val="26"/>
                <c:pt idx="0">
                  <c:v>2024-08</c:v>
                </c:pt>
                <c:pt idx="1">
                  <c:v>2024-09</c:v>
                </c:pt>
                <c:pt idx="2">
                  <c:v>2024-10</c:v>
                </c:pt>
                <c:pt idx="3">
                  <c:v>2024-11</c:v>
                </c:pt>
                <c:pt idx="4">
                  <c:v>2024-12</c:v>
                </c:pt>
                <c:pt idx="5">
                  <c:v>2025-01</c:v>
                </c:pt>
                <c:pt idx="6">
                  <c:v>2025-02</c:v>
                </c:pt>
                <c:pt idx="7">
                  <c:v>2025-03</c:v>
                </c:pt>
                <c:pt idx="8">
                  <c:v>2025-04</c:v>
                </c:pt>
                <c:pt idx="9">
                  <c:v>2025-05</c:v>
                </c:pt>
                <c:pt idx="10">
                  <c:v>2025-06</c:v>
                </c:pt>
                <c:pt idx="11">
                  <c:v>2025-07</c:v>
                </c:pt>
                <c:pt idx="12">
                  <c:v>2025-08</c:v>
                </c:pt>
                <c:pt idx="13">
                  <c:v>2025-09</c:v>
                </c:pt>
                <c:pt idx="14">
                  <c:v>2025-10</c:v>
                </c:pt>
                <c:pt idx="15">
                  <c:v>2025-11</c:v>
                </c:pt>
                <c:pt idx="16">
                  <c:v>2025-12</c:v>
                </c:pt>
                <c:pt idx="17">
                  <c:v>2026-01</c:v>
                </c:pt>
                <c:pt idx="18">
                  <c:v>2026-02</c:v>
                </c:pt>
                <c:pt idx="19">
                  <c:v>2026-03</c:v>
                </c:pt>
                <c:pt idx="20">
                  <c:v>2026-04</c:v>
                </c:pt>
                <c:pt idx="21">
                  <c:v>2026-05</c:v>
                </c:pt>
                <c:pt idx="22">
                  <c:v>2026-06</c:v>
                </c:pt>
                <c:pt idx="23">
                  <c:v>2026-07</c:v>
                </c:pt>
                <c:pt idx="24">
                  <c:v>2026-08</c:v>
                </c:pt>
                <c:pt idx="25">
                  <c:v>2026-09</c:v>
                </c:pt>
              </c:strCache>
            </c:strRef>
          </c:cat>
          <c:val>
            <c:numRef>
              <c:f>'Branded Self-Pay'!$D$46:$D$72</c:f>
            </c:numRef>
          </c:val>
          <c:smooth val="0"/>
          <c:extLst>
            <c:ext xmlns:c16="http://schemas.microsoft.com/office/drawing/2014/chart" uri="{C3380CC4-5D6E-409C-BE32-E72D297353CC}">
              <c16:uniqueId val="{00000002-7A1E-A443-811B-6A02630F4133}"/>
            </c:ext>
          </c:extLst>
        </c:ser>
        <c:ser>
          <c:idx val="3"/>
          <c:order val="3"/>
          <c:tx>
            <c:v>Wegovy injection</c:v>
          </c:tx>
          <c:spPr>
            <a:ln w="19050">
              <a:solidFill>
                <a:srgbClr val="163A5F"/>
              </a:solidFill>
            </a:ln>
          </c:spPr>
          <c:marker>
            <c:symbol val="none"/>
          </c:marker>
          <c:cat>
            <c:strRef>
              <c:f>'Branded Self-Pay'!$A$46:$A$72</c:f>
              <c:strCache>
                <c:ptCount val="26"/>
                <c:pt idx="0">
                  <c:v>2024-08</c:v>
                </c:pt>
                <c:pt idx="1">
                  <c:v>2024-09</c:v>
                </c:pt>
                <c:pt idx="2">
                  <c:v>2024-10</c:v>
                </c:pt>
                <c:pt idx="3">
                  <c:v>2024-11</c:v>
                </c:pt>
                <c:pt idx="4">
                  <c:v>2024-12</c:v>
                </c:pt>
                <c:pt idx="5">
                  <c:v>2025-01</c:v>
                </c:pt>
                <c:pt idx="6">
                  <c:v>2025-02</c:v>
                </c:pt>
                <c:pt idx="7">
                  <c:v>2025-03</c:v>
                </c:pt>
                <c:pt idx="8">
                  <c:v>2025-04</c:v>
                </c:pt>
                <c:pt idx="9">
                  <c:v>2025-05</c:v>
                </c:pt>
                <c:pt idx="10">
                  <c:v>2025-06</c:v>
                </c:pt>
                <c:pt idx="11">
                  <c:v>2025-07</c:v>
                </c:pt>
                <c:pt idx="12">
                  <c:v>2025-08</c:v>
                </c:pt>
                <c:pt idx="13">
                  <c:v>2025-09</c:v>
                </c:pt>
                <c:pt idx="14">
                  <c:v>2025-10</c:v>
                </c:pt>
                <c:pt idx="15">
                  <c:v>2025-11</c:v>
                </c:pt>
                <c:pt idx="16">
                  <c:v>2025-12</c:v>
                </c:pt>
                <c:pt idx="17">
                  <c:v>2026-01</c:v>
                </c:pt>
                <c:pt idx="18">
                  <c:v>2026-02</c:v>
                </c:pt>
                <c:pt idx="19">
                  <c:v>2026-03</c:v>
                </c:pt>
                <c:pt idx="20">
                  <c:v>2026-04</c:v>
                </c:pt>
                <c:pt idx="21">
                  <c:v>2026-05</c:v>
                </c:pt>
                <c:pt idx="22">
                  <c:v>2026-06</c:v>
                </c:pt>
                <c:pt idx="23">
                  <c:v>2026-07</c:v>
                </c:pt>
                <c:pt idx="24">
                  <c:v>2026-08</c:v>
                </c:pt>
                <c:pt idx="25">
                  <c:v>2026-09</c:v>
                </c:pt>
              </c:strCache>
            </c:strRef>
          </c:cat>
          <c:val>
            <c:numRef>
              <c:f>'Branded Self-Pay'!$E$46:$E$72</c:f>
            </c:numRef>
          </c:val>
          <c:smooth val="0"/>
          <c:extLst>
            <c:ext xmlns:c16="http://schemas.microsoft.com/office/drawing/2014/chart" uri="{C3380CC4-5D6E-409C-BE32-E72D297353CC}">
              <c16:uniqueId val="{00000003-7A1E-A443-811B-6A02630F41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 sz="675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CA" sz="900">
                <a:latin typeface="Arial"/>
                <a:ea typeface="Arial"/>
                <a:cs typeface="Arial"/>
              </a:rPr>
              <a:t>New oral/HD direct-pay launches (USD/month)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Wegovy tablets 1.5 mg</c:v>
          </c:tx>
          <c:spPr>
            <a:ln w="19050">
              <a:solidFill>
                <a:srgbClr val="F59E0B"/>
              </a:solidFill>
            </a:ln>
          </c:spPr>
          <c:marker>
            <c:symbol val="none"/>
          </c:marker>
          <c:cat>
            <c:strRef>
              <c:f>'Branded Self-Pay'!$A$46:$A$72</c:f>
              <c:strCache>
                <c:ptCount val="26"/>
                <c:pt idx="0">
                  <c:v>2024-08</c:v>
                </c:pt>
                <c:pt idx="1">
                  <c:v>2024-09</c:v>
                </c:pt>
                <c:pt idx="2">
                  <c:v>2024-10</c:v>
                </c:pt>
                <c:pt idx="3">
                  <c:v>2024-11</c:v>
                </c:pt>
                <c:pt idx="4">
                  <c:v>2024-12</c:v>
                </c:pt>
                <c:pt idx="5">
                  <c:v>2025-01</c:v>
                </c:pt>
                <c:pt idx="6">
                  <c:v>2025-02</c:v>
                </c:pt>
                <c:pt idx="7">
                  <c:v>2025-03</c:v>
                </c:pt>
                <c:pt idx="8">
                  <c:v>2025-04</c:v>
                </c:pt>
                <c:pt idx="9">
                  <c:v>2025-05</c:v>
                </c:pt>
                <c:pt idx="10">
                  <c:v>2025-06</c:v>
                </c:pt>
                <c:pt idx="11">
                  <c:v>2025-07</c:v>
                </c:pt>
                <c:pt idx="12">
                  <c:v>2025-08</c:v>
                </c:pt>
                <c:pt idx="13">
                  <c:v>2025-09</c:v>
                </c:pt>
                <c:pt idx="14">
                  <c:v>2025-10</c:v>
                </c:pt>
                <c:pt idx="15">
                  <c:v>2025-11</c:v>
                </c:pt>
                <c:pt idx="16">
                  <c:v>2025-12</c:v>
                </c:pt>
                <c:pt idx="17">
                  <c:v>2026-01</c:v>
                </c:pt>
                <c:pt idx="18">
                  <c:v>2026-02</c:v>
                </c:pt>
                <c:pt idx="19">
                  <c:v>2026-03</c:v>
                </c:pt>
                <c:pt idx="20">
                  <c:v>2026-04</c:v>
                </c:pt>
                <c:pt idx="21">
                  <c:v>2026-05</c:v>
                </c:pt>
                <c:pt idx="22">
                  <c:v>2026-06</c:v>
                </c:pt>
                <c:pt idx="23">
                  <c:v>2026-07</c:v>
                </c:pt>
                <c:pt idx="24">
                  <c:v>2026-08</c:v>
                </c:pt>
                <c:pt idx="25">
                  <c:v>2026-09</c:v>
                </c:pt>
              </c:strCache>
            </c:strRef>
          </c:cat>
          <c:val>
            <c:numRef>
              <c:f>'Branded Self-Pay'!$G$46:$G$72</c:f>
            </c:numRef>
          </c:val>
          <c:smooth val="0"/>
          <c:extLst>
            <c:ext xmlns:c16="http://schemas.microsoft.com/office/drawing/2014/chart" uri="{C3380CC4-5D6E-409C-BE32-E72D297353CC}">
              <c16:uniqueId val="{00000000-9261-2346-895C-345C450D6876}"/>
            </c:ext>
          </c:extLst>
        </c:ser>
        <c:ser>
          <c:idx val="1"/>
          <c:order val="1"/>
          <c:tx>
            <c:v>Foundayo lowest dose</c:v>
          </c:tx>
          <c:spPr>
            <a:ln w="19050">
              <a:solidFill>
                <a:srgbClr val="0F766E"/>
              </a:solidFill>
            </a:ln>
          </c:spPr>
          <c:marker>
            <c:symbol val="none"/>
          </c:marker>
          <c:cat>
            <c:strRef>
              <c:f>'Branded Self-Pay'!$A$46:$A$72</c:f>
              <c:strCache>
                <c:ptCount val="26"/>
                <c:pt idx="0">
                  <c:v>2024-08</c:v>
                </c:pt>
                <c:pt idx="1">
                  <c:v>2024-09</c:v>
                </c:pt>
                <c:pt idx="2">
                  <c:v>2024-10</c:v>
                </c:pt>
                <c:pt idx="3">
                  <c:v>2024-11</c:v>
                </c:pt>
                <c:pt idx="4">
                  <c:v>2024-12</c:v>
                </c:pt>
                <c:pt idx="5">
                  <c:v>2025-01</c:v>
                </c:pt>
                <c:pt idx="6">
                  <c:v>2025-02</c:v>
                </c:pt>
                <c:pt idx="7">
                  <c:v>2025-03</c:v>
                </c:pt>
                <c:pt idx="8">
                  <c:v>2025-04</c:v>
                </c:pt>
                <c:pt idx="9">
                  <c:v>2025-05</c:v>
                </c:pt>
                <c:pt idx="10">
                  <c:v>2025-06</c:v>
                </c:pt>
                <c:pt idx="11">
                  <c:v>2025-07</c:v>
                </c:pt>
                <c:pt idx="12">
                  <c:v>2025-08</c:v>
                </c:pt>
                <c:pt idx="13">
                  <c:v>2025-09</c:v>
                </c:pt>
                <c:pt idx="14">
                  <c:v>2025-10</c:v>
                </c:pt>
                <c:pt idx="15">
                  <c:v>2025-11</c:v>
                </c:pt>
                <c:pt idx="16">
                  <c:v>2025-12</c:v>
                </c:pt>
                <c:pt idx="17">
                  <c:v>2026-01</c:v>
                </c:pt>
                <c:pt idx="18">
                  <c:v>2026-02</c:v>
                </c:pt>
                <c:pt idx="19">
                  <c:v>2026-03</c:v>
                </c:pt>
                <c:pt idx="20">
                  <c:v>2026-04</c:v>
                </c:pt>
                <c:pt idx="21">
                  <c:v>2026-05</c:v>
                </c:pt>
                <c:pt idx="22">
                  <c:v>2026-06</c:v>
                </c:pt>
                <c:pt idx="23">
                  <c:v>2026-07</c:v>
                </c:pt>
                <c:pt idx="24">
                  <c:v>2026-08</c:v>
                </c:pt>
                <c:pt idx="25">
                  <c:v>2026-09</c:v>
                </c:pt>
              </c:strCache>
            </c:strRef>
          </c:cat>
          <c:val>
            <c:numRef>
              <c:f>'Branded Self-Pay'!$H$46:$H$72</c:f>
            </c:numRef>
          </c:val>
          <c:smooth val="0"/>
          <c:extLst>
            <c:ext xmlns:c16="http://schemas.microsoft.com/office/drawing/2014/chart" uri="{C3380CC4-5D6E-409C-BE32-E72D297353CC}">
              <c16:uniqueId val="{00000001-9261-2346-895C-345C450D6876}"/>
            </c:ext>
          </c:extLst>
        </c:ser>
        <c:ser>
          <c:idx val="2"/>
          <c:order val="2"/>
          <c:tx>
            <c:v>Wegovy HD 7.2 mg</c:v>
          </c:tx>
          <c:spPr>
            <a:ln w="19050">
              <a:solidFill>
                <a:srgbClr val="163A5F"/>
              </a:solidFill>
            </a:ln>
          </c:spPr>
          <c:marker>
            <c:symbol val="none"/>
          </c:marker>
          <c:cat>
            <c:strRef>
              <c:f>'Branded Self-Pay'!$A$46:$A$72</c:f>
              <c:strCache>
                <c:ptCount val="26"/>
                <c:pt idx="0">
                  <c:v>2024-08</c:v>
                </c:pt>
                <c:pt idx="1">
                  <c:v>2024-09</c:v>
                </c:pt>
                <c:pt idx="2">
                  <c:v>2024-10</c:v>
                </c:pt>
                <c:pt idx="3">
                  <c:v>2024-11</c:v>
                </c:pt>
                <c:pt idx="4">
                  <c:v>2024-12</c:v>
                </c:pt>
                <c:pt idx="5">
                  <c:v>2025-01</c:v>
                </c:pt>
                <c:pt idx="6">
                  <c:v>2025-02</c:v>
                </c:pt>
                <c:pt idx="7">
                  <c:v>2025-03</c:v>
                </c:pt>
                <c:pt idx="8">
                  <c:v>2025-04</c:v>
                </c:pt>
                <c:pt idx="9">
                  <c:v>2025-05</c:v>
                </c:pt>
                <c:pt idx="10">
                  <c:v>2025-06</c:v>
                </c:pt>
                <c:pt idx="11">
                  <c:v>2025-07</c:v>
                </c:pt>
                <c:pt idx="12">
                  <c:v>2025-08</c:v>
                </c:pt>
                <c:pt idx="13">
                  <c:v>2025-09</c:v>
                </c:pt>
                <c:pt idx="14">
                  <c:v>2025-10</c:v>
                </c:pt>
                <c:pt idx="15">
                  <c:v>2025-11</c:v>
                </c:pt>
                <c:pt idx="16">
                  <c:v>2025-12</c:v>
                </c:pt>
                <c:pt idx="17">
                  <c:v>2026-01</c:v>
                </c:pt>
                <c:pt idx="18">
                  <c:v>2026-02</c:v>
                </c:pt>
                <c:pt idx="19">
                  <c:v>2026-03</c:v>
                </c:pt>
                <c:pt idx="20">
                  <c:v>2026-04</c:v>
                </c:pt>
                <c:pt idx="21">
                  <c:v>2026-05</c:v>
                </c:pt>
                <c:pt idx="22">
                  <c:v>2026-06</c:v>
                </c:pt>
                <c:pt idx="23">
                  <c:v>2026-07</c:v>
                </c:pt>
                <c:pt idx="24">
                  <c:v>2026-08</c:v>
                </c:pt>
                <c:pt idx="25">
                  <c:v>2026-09</c:v>
                </c:pt>
              </c:strCache>
            </c:strRef>
          </c:cat>
          <c:val>
            <c:numRef>
              <c:f>'Branded Self-Pay'!$I$46:$I$72</c:f>
            </c:numRef>
          </c:val>
          <c:smooth val="0"/>
          <c:extLst>
            <c:ext xmlns:c16="http://schemas.microsoft.com/office/drawing/2014/chart" uri="{C3380CC4-5D6E-409C-BE32-E72D297353CC}">
              <c16:uniqueId val="{00000002-9261-2346-895C-345C450D6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 sz="675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CA" sz="900">
                <a:latin typeface="Arial"/>
                <a:ea typeface="Arial"/>
                <a:cs typeface="Arial"/>
              </a:rPr>
              <a:t>Observed WAC/list price history (USD per fill)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Ozempic</c:v>
          </c:tx>
          <c:spPr>
            <a:ln w="19050">
              <a:solidFill>
                <a:srgbClr val="00A6C8"/>
              </a:solidFill>
            </a:ln>
          </c:spPr>
          <c:marker>
            <c:symbol val="none"/>
          </c:marker>
          <c:cat>
            <c:strRef>
              <c:f>'WAC List Price'!$A$30:$A$139</c:f>
              <c:strCache>
                <c:ptCount val="110"/>
                <c:pt idx="0">
                  <c:v>2017-12</c:v>
                </c:pt>
                <c:pt idx="1">
                  <c:v>2018-01</c:v>
                </c:pt>
                <c:pt idx="2">
                  <c:v>2018-02</c:v>
                </c:pt>
                <c:pt idx="3">
                  <c:v>2018-03</c:v>
                </c:pt>
                <c:pt idx="4">
                  <c:v>2018-04</c:v>
                </c:pt>
                <c:pt idx="5">
                  <c:v>2018-05</c:v>
                </c:pt>
                <c:pt idx="6">
                  <c:v>2018-06</c:v>
                </c:pt>
                <c:pt idx="7">
                  <c:v>2018-07</c:v>
                </c:pt>
                <c:pt idx="8">
                  <c:v>2018-08</c:v>
                </c:pt>
                <c:pt idx="9">
                  <c:v>2018-09</c:v>
                </c:pt>
                <c:pt idx="10">
                  <c:v>2018-10</c:v>
                </c:pt>
                <c:pt idx="11">
                  <c:v>2018-11</c:v>
                </c:pt>
                <c:pt idx="12">
                  <c:v>2018-12</c:v>
                </c:pt>
                <c:pt idx="13">
                  <c:v>2019-01</c:v>
                </c:pt>
                <c:pt idx="14">
                  <c:v>2019-02</c:v>
                </c:pt>
                <c:pt idx="15">
                  <c:v>2019-03</c:v>
                </c:pt>
                <c:pt idx="16">
                  <c:v>2019-04</c:v>
                </c:pt>
                <c:pt idx="17">
                  <c:v>2019-05</c:v>
                </c:pt>
                <c:pt idx="18">
                  <c:v>2019-06</c:v>
                </c:pt>
                <c:pt idx="19">
                  <c:v>2019-07</c:v>
                </c:pt>
                <c:pt idx="20">
                  <c:v>2019-08</c:v>
                </c:pt>
                <c:pt idx="21">
                  <c:v>2019-09</c:v>
                </c:pt>
                <c:pt idx="22">
                  <c:v>2019-10</c:v>
                </c:pt>
                <c:pt idx="23">
                  <c:v>2019-11</c:v>
                </c:pt>
                <c:pt idx="24">
                  <c:v>2019-12</c:v>
                </c:pt>
                <c:pt idx="25">
                  <c:v>2020-01</c:v>
                </c:pt>
                <c:pt idx="26">
                  <c:v>2020-02</c:v>
                </c:pt>
                <c:pt idx="27">
                  <c:v>2020-03</c:v>
                </c:pt>
                <c:pt idx="28">
                  <c:v>2020-04</c:v>
                </c:pt>
                <c:pt idx="29">
                  <c:v>2020-05</c:v>
                </c:pt>
                <c:pt idx="30">
                  <c:v>2020-06</c:v>
                </c:pt>
                <c:pt idx="31">
                  <c:v>2020-07</c:v>
                </c:pt>
                <c:pt idx="32">
                  <c:v>2020-08</c:v>
                </c:pt>
                <c:pt idx="33">
                  <c:v>2020-09</c:v>
                </c:pt>
                <c:pt idx="34">
                  <c:v>2020-10</c:v>
                </c:pt>
                <c:pt idx="35">
                  <c:v>2020-11</c:v>
                </c:pt>
                <c:pt idx="36">
                  <c:v>2020-12</c:v>
                </c:pt>
                <c:pt idx="37">
                  <c:v>2021-01</c:v>
                </c:pt>
                <c:pt idx="38">
                  <c:v>2021-02</c:v>
                </c:pt>
                <c:pt idx="39">
                  <c:v>2021-03</c:v>
                </c:pt>
                <c:pt idx="40">
                  <c:v>2021-04</c:v>
                </c:pt>
                <c:pt idx="41">
                  <c:v>2021-05</c:v>
                </c:pt>
                <c:pt idx="42">
                  <c:v>2021-06</c:v>
                </c:pt>
                <c:pt idx="43">
                  <c:v>2021-07</c:v>
                </c:pt>
                <c:pt idx="44">
                  <c:v>2021-08</c:v>
                </c:pt>
                <c:pt idx="45">
                  <c:v>2021-09</c:v>
                </c:pt>
                <c:pt idx="46">
                  <c:v>2021-10</c:v>
                </c:pt>
                <c:pt idx="47">
                  <c:v>2021-11</c:v>
                </c:pt>
                <c:pt idx="48">
                  <c:v>2021-12</c:v>
                </c:pt>
                <c:pt idx="49">
                  <c:v>2022-01</c:v>
                </c:pt>
                <c:pt idx="50">
                  <c:v>2022-02</c:v>
                </c:pt>
                <c:pt idx="51">
                  <c:v>2022-03</c:v>
                </c:pt>
                <c:pt idx="52">
                  <c:v>2022-04</c:v>
                </c:pt>
                <c:pt idx="53">
                  <c:v>2022-05</c:v>
                </c:pt>
                <c:pt idx="54">
                  <c:v>2022-06</c:v>
                </c:pt>
                <c:pt idx="55">
                  <c:v>2022-07</c:v>
                </c:pt>
                <c:pt idx="56">
                  <c:v>2022-08</c:v>
                </c:pt>
                <c:pt idx="57">
                  <c:v>2022-09</c:v>
                </c:pt>
                <c:pt idx="58">
                  <c:v>2022-10</c:v>
                </c:pt>
                <c:pt idx="59">
                  <c:v>2022-11</c:v>
                </c:pt>
                <c:pt idx="60">
                  <c:v>2022-12</c:v>
                </c:pt>
                <c:pt idx="61">
                  <c:v>2023-01</c:v>
                </c:pt>
                <c:pt idx="62">
                  <c:v>2023-02</c:v>
                </c:pt>
                <c:pt idx="63">
                  <c:v>2023-03</c:v>
                </c:pt>
                <c:pt idx="64">
                  <c:v>2023-04</c:v>
                </c:pt>
                <c:pt idx="65">
                  <c:v>2023-05</c:v>
                </c:pt>
                <c:pt idx="66">
                  <c:v>2023-06</c:v>
                </c:pt>
                <c:pt idx="67">
                  <c:v>2023-07</c:v>
                </c:pt>
                <c:pt idx="68">
                  <c:v>2023-08</c:v>
                </c:pt>
                <c:pt idx="69">
                  <c:v>2023-09</c:v>
                </c:pt>
                <c:pt idx="70">
                  <c:v>2023-10</c:v>
                </c:pt>
                <c:pt idx="71">
                  <c:v>2023-11</c:v>
                </c:pt>
                <c:pt idx="72">
                  <c:v>2023-12</c:v>
                </c:pt>
                <c:pt idx="73">
                  <c:v>2024-01</c:v>
                </c:pt>
                <c:pt idx="74">
                  <c:v>2024-02</c:v>
                </c:pt>
                <c:pt idx="75">
                  <c:v>2024-03</c:v>
                </c:pt>
                <c:pt idx="76">
                  <c:v>2024-04</c:v>
                </c:pt>
                <c:pt idx="77">
                  <c:v>2024-05</c:v>
                </c:pt>
                <c:pt idx="78">
                  <c:v>2024-06</c:v>
                </c:pt>
                <c:pt idx="79">
                  <c:v>2024-07</c:v>
                </c:pt>
                <c:pt idx="80">
                  <c:v>2024-08</c:v>
                </c:pt>
                <c:pt idx="81">
                  <c:v>2024-09</c:v>
                </c:pt>
                <c:pt idx="82">
                  <c:v>2024-10</c:v>
                </c:pt>
                <c:pt idx="83">
                  <c:v>2024-11</c:v>
                </c:pt>
                <c:pt idx="84">
                  <c:v>2024-12</c:v>
                </c:pt>
                <c:pt idx="85">
                  <c:v>2025-01</c:v>
                </c:pt>
                <c:pt idx="86">
                  <c:v>2025-02</c:v>
                </c:pt>
                <c:pt idx="87">
                  <c:v>2025-03</c:v>
                </c:pt>
                <c:pt idx="88">
                  <c:v>2025-04</c:v>
                </c:pt>
                <c:pt idx="89">
                  <c:v>2025-05</c:v>
                </c:pt>
                <c:pt idx="90">
                  <c:v>2025-06</c:v>
                </c:pt>
                <c:pt idx="91">
                  <c:v>2025-07</c:v>
                </c:pt>
                <c:pt idx="92">
                  <c:v>2025-08</c:v>
                </c:pt>
                <c:pt idx="93">
                  <c:v>2025-09</c:v>
                </c:pt>
                <c:pt idx="94">
                  <c:v>2025-10</c:v>
                </c:pt>
                <c:pt idx="95">
                  <c:v>2025-11</c:v>
                </c:pt>
                <c:pt idx="96">
                  <c:v>2025-12</c:v>
                </c:pt>
                <c:pt idx="97">
                  <c:v>2026-01</c:v>
                </c:pt>
                <c:pt idx="98">
                  <c:v>2026-02</c:v>
                </c:pt>
                <c:pt idx="99">
                  <c:v>2026-03</c:v>
                </c:pt>
                <c:pt idx="100">
                  <c:v>2026-04</c:v>
                </c:pt>
                <c:pt idx="101">
                  <c:v>2026-05</c:v>
                </c:pt>
                <c:pt idx="102">
                  <c:v>2026-06</c:v>
                </c:pt>
                <c:pt idx="103">
                  <c:v>2026-07</c:v>
                </c:pt>
                <c:pt idx="104">
                  <c:v>2026-08</c:v>
                </c:pt>
                <c:pt idx="105">
                  <c:v>2026-09</c:v>
                </c:pt>
                <c:pt idx="106">
                  <c:v>2026-10</c:v>
                </c:pt>
                <c:pt idx="107">
                  <c:v>2026-11</c:v>
                </c:pt>
                <c:pt idx="108">
                  <c:v>2026-12</c:v>
                </c:pt>
                <c:pt idx="109">
                  <c:v>2027-01</c:v>
                </c:pt>
              </c:strCache>
            </c:strRef>
          </c:cat>
          <c:val>
            <c:numRef>
              <c:f>'WAC List Price'!$B$30:$B$139</c:f>
              <c:numCache>
                <c:formatCode>\$#,##0.00</c:formatCode>
                <c:ptCount val="110"/>
                <c:pt idx="0">
                  <c:v>676</c:v>
                </c:pt>
                <c:pt idx="1">
                  <c:v>676</c:v>
                </c:pt>
                <c:pt idx="2">
                  <c:v>676</c:v>
                </c:pt>
                <c:pt idx="3">
                  <c:v>676</c:v>
                </c:pt>
                <c:pt idx="4">
                  <c:v>676</c:v>
                </c:pt>
                <c:pt idx="5">
                  <c:v>676</c:v>
                </c:pt>
                <c:pt idx="6">
                  <c:v>676</c:v>
                </c:pt>
                <c:pt idx="7">
                  <c:v>676</c:v>
                </c:pt>
                <c:pt idx="8">
                  <c:v>676</c:v>
                </c:pt>
                <c:pt idx="9">
                  <c:v>676</c:v>
                </c:pt>
                <c:pt idx="10">
                  <c:v>676</c:v>
                </c:pt>
                <c:pt idx="11">
                  <c:v>676</c:v>
                </c:pt>
                <c:pt idx="12">
                  <c:v>676</c:v>
                </c:pt>
                <c:pt idx="13">
                  <c:v>676</c:v>
                </c:pt>
                <c:pt idx="14">
                  <c:v>676</c:v>
                </c:pt>
                <c:pt idx="15">
                  <c:v>676</c:v>
                </c:pt>
                <c:pt idx="16">
                  <c:v>676</c:v>
                </c:pt>
                <c:pt idx="17">
                  <c:v>676</c:v>
                </c:pt>
                <c:pt idx="18">
                  <c:v>676</c:v>
                </c:pt>
                <c:pt idx="19">
                  <c:v>676</c:v>
                </c:pt>
                <c:pt idx="20">
                  <c:v>676</c:v>
                </c:pt>
                <c:pt idx="21">
                  <c:v>676</c:v>
                </c:pt>
                <c:pt idx="22">
                  <c:v>676</c:v>
                </c:pt>
                <c:pt idx="23">
                  <c:v>676</c:v>
                </c:pt>
                <c:pt idx="24">
                  <c:v>676</c:v>
                </c:pt>
                <c:pt idx="25">
                  <c:v>676</c:v>
                </c:pt>
                <c:pt idx="26">
                  <c:v>676</c:v>
                </c:pt>
                <c:pt idx="27">
                  <c:v>676</c:v>
                </c:pt>
                <c:pt idx="28">
                  <c:v>676</c:v>
                </c:pt>
                <c:pt idx="29">
                  <c:v>676</c:v>
                </c:pt>
                <c:pt idx="30">
                  <c:v>676</c:v>
                </c:pt>
                <c:pt idx="31">
                  <c:v>676</c:v>
                </c:pt>
                <c:pt idx="32">
                  <c:v>676</c:v>
                </c:pt>
                <c:pt idx="33">
                  <c:v>676</c:v>
                </c:pt>
                <c:pt idx="34">
                  <c:v>676</c:v>
                </c:pt>
                <c:pt idx="35">
                  <c:v>676</c:v>
                </c:pt>
                <c:pt idx="36">
                  <c:v>676</c:v>
                </c:pt>
                <c:pt idx="37">
                  <c:v>676</c:v>
                </c:pt>
                <c:pt idx="38">
                  <c:v>676</c:v>
                </c:pt>
                <c:pt idx="39">
                  <c:v>676</c:v>
                </c:pt>
                <c:pt idx="40">
                  <c:v>676</c:v>
                </c:pt>
                <c:pt idx="41">
                  <c:v>676</c:v>
                </c:pt>
                <c:pt idx="42">
                  <c:v>676</c:v>
                </c:pt>
                <c:pt idx="43">
                  <c:v>676</c:v>
                </c:pt>
                <c:pt idx="44">
                  <c:v>676</c:v>
                </c:pt>
                <c:pt idx="45">
                  <c:v>676</c:v>
                </c:pt>
                <c:pt idx="46">
                  <c:v>676</c:v>
                </c:pt>
                <c:pt idx="47">
                  <c:v>676</c:v>
                </c:pt>
                <c:pt idx="48">
                  <c:v>676</c:v>
                </c:pt>
                <c:pt idx="49">
                  <c:v>676</c:v>
                </c:pt>
                <c:pt idx="50">
                  <c:v>676</c:v>
                </c:pt>
                <c:pt idx="51">
                  <c:v>676</c:v>
                </c:pt>
                <c:pt idx="52">
                  <c:v>676</c:v>
                </c:pt>
                <c:pt idx="53">
                  <c:v>676</c:v>
                </c:pt>
                <c:pt idx="54">
                  <c:v>676</c:v>
                </c:pt>
                <c:pt idx="55">
                  <c:v>676</c:v>
                </c:pt>
                <c:pt idx="56">
                  <c:v>676</c:v>
                </c:pt>
                <c:pt idx="57">
                  <c:v>676</c:v>
                </c:pt>
                <c:pt idx="58">
                  <c:v>676</c:v>
                </c:pt>
                <c:pt idx="59">
                  <c:v>676</c:v>
                </c:pt>
                <c:pt idx="60">
                  <c:v>676</c:v>
                </c:pt>
                <c:pt idx="61">
                  <c:v>676</c:v>
                </c:pt>
                <c:pt idx="62">
                  <c:v>676</c:v>
                </c:pt>
                <c:pt idx="63">
                  <c:v>676</c:v>
                </c:pt>
                <c:pt idx="64">
                  <c:v>676</c:v>
                </c:pt>
                <c:pt idx="65">
                  <c:v>676</c:v>
                </c:pt>
                <c:pt idx="66">
                  <c:v>676</c:v>
                </c:pt>
                <c:pt idx="67">
                  <c:v>676</c:v>
                </c:pt>
                <c:pt idx="68">
                  <c:v>676</c:v>
                </c:pt>
                <c:pt idx="69">
                  <c:v>676</c:v>
                </c:pt>
                <c:pt idx="70">
                  <c:v>676</c:v>
                </c:pt>
                <c:pt idx="71">
                  <c:v>676</c:v>
                </c:pt>
                <c:pt idx="72">
                  <c:v>676</c:v>
                </c:pt>
                <c:pt idx="73">
                  <c:v>676</c:v>
                </c:pt>
                <c:pt idx="74">
                  <c:v>676</c:v>
                </c:pt>
                <c:pt idx="75">
                  <c:v>676</c:v>
                </c:pt>
                <c:pt idx="76">
                  <c:v>676</c:v>
                </c:pt>
                <c:pt idx="77">
                  <c:v>935.77</c:v>
                </c:pt>
                <c:pt idx="78">
                  <c:v>935.77</c:v>
                </c:pt>
                <c:pt idx="79">
                  <c:v>935.77</c:v>
                </c:pt>
                <c:pt idx="80">
                  <c:v>935.77</c:v>
                </c:pt>
                <c:pt idx="81">
                  <c:v>935.77</c:v>
                </c:pt>
                <c:pt idx="82">
                  <c:v>935.77</c:v>
                </c:pt>
                <c:pt idx="83">
                  <c:v>935.77</c:v>
                </c:pt>
                <c:pt idx="84">
                  <c:v>935.77</c:v>
                </c:pt>
                <c:pt idx="85">
                  <c:v>935.77</c:v>
                </c:pt>
                <c:pt idx="86">
                  <c:v>935.77</c:v>
                </c:pt>
                <c:pt idx="87">
                  <c:v>935.77</c:v>
                </c:pt>
                <c:pt idx="88">
                  <c:v>935.77</c:v>
                </c:pt>
                <c:pt idx="89">
                  <c:v>935.77</c:v>
                </c:pt>
                <c:pt idx="90">
                  <c:v>935.77</c:v>
                </c:pt>
                <c:pt idx="91">
                  <c:v>935.77</c:v>
                </c:pt>
                <c:pt idx="92">
                  <c:v>935.77</c:v>
                </c:pt>
                <c:pt idx="93">
                  <c:v>935.77</c:v>
                </c:pt>
                <c:pt idx="94">
                  <c:v>935.77</c:v>
                </c:pt>
                <c:pt idx="95">
                  <c:v>935.77</c:v>
                </c:pt>
                <c:pt idx="96">
                  <c:v>997.58</c:v>
                </c:pt>
                <c:pt idx="97">
                  <c:v>997.58</c:v>
                </c:pt>
                <c:pt idx="98">
                  <c:v>997.58</c:v>
                </c:pt>
                <c:pt idx="99">
                  <c:v>997.58</c:v>
                </c:pt>
                <c:pt idx="100">
                  <c:v>997.58</c:v>
                </c:pt>
                <c:pt idx="101">
                  <c:v>997.58</c:v>
                </c:pt>
                <c:pt idx="102">
                  <c:v>997.58</c:v>
                </c:pt>
                <c:pt idx="103">
                  <c:v>997.58</c:v>
                </c:pt>
                <c:pt idx="104">
                  <c:v>997.58</c:v>
                </c:pt>
                <c:pt idx="105">
                  <c:v>1027.51</c:v>
                </c:pt>
                <c:pt idx="106">
                  <c:v>1027.51</c:v>
                </c:pt>
                <c:pt idx="107">
                  <c:v>1027.51</c:v>
                </c:pt>
                <c:pt idx="108">
                  <c:v>1027.51</c:v>
                </c:pt>
                <c:pt idx="109">
                  <c:v>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CA-4A4F-9643-A6ADDBE9B2E1}"/>
            </c:ext>
          </c:extLst>
        </c:ser>
        <c:ser>
          <c:idx val="1"/>
          <c:order val="1"/>
          <c:tx>
            <c:v>Wegovy</c:v>
          </c:tx>
          <c:spPr>
            <a:ln w="19050">
              <a:solidFill>
                <a:srgbClr val="F59E0B"/>
              </a:solidFill>
            </a:ln>
          </c:spPr>
          <c:marker>
            <c:symbol val="none"/>
          </c:marker>
          <c:cat>
            <c:strRef>
              <c:f>'WAC List Price'!$A$30:$A$139</c:f>
              <c:strCache>
                <c:ptCount val="110"/>
                <c:pt idx="0">
                  <c:v>2017-12</c:v>
                </c:pt>
                <c:pt idx="1">
                  <c:v>2018-01</c:v>
                </c:pt>
                <c:pt idx="2">
                  <c:v>2018-02</c:v>
                </c:pt>
                <c:pt idx="3">
                  <c:v>2018-03</c:v>
                </c:pt>
                <c:pt idx="4">
                  <c:v>2018-04</c:v>
                </c:pt>
                <c:pt idx="5">
                  <c:v>2018-05</c:v>
                </c:pt>
                <c:pt idx="6">
                  <c:v>2018-06</c:v>
                </c:pt>
                <c:pt idx="7">
                  <c:v>2018-07</c:v>
                </c:pt>
                <c:pt idx="8">
                  <c:v>2018-08</c:v>
                </c:pt>
                <c:pt idx="9">
                  <c:v>2018-09</c:v>
                </c:pt>
                <c:pt idx="10">
                  <c:v>2018-10</c:v>
                </c:pt>
                <c:pt idx="11">
                  <c:v>2018-11</c:v>
                </c:pt>
                <c:pt idx="12">
                  <c:v>2018-12</c:v>
                </c:pt>
                <c:pt idx="13">
                  <c:v>2019-01</c:v>
                </c:pt>
                <c:pt idx="14">
                  <c:v>2019-02</c:v>
                </c:pt>
                <c:pt idx="15">
                  <c:v>2019-03</c:v>
                </c:pt>
                <c:pt idx="16">
                  <c:v>2019-04</c:v>
                </c:pt>
                <c:pt idx="17">
                  <c:v>2019-05</c:v>
                </c:pt>
                <c:pt idx="18">
                  <c:v>2019-06</c:v>
                </c:pt>
                <c:pt idx="19">
                  <c:v>2019-07</c:v>
                </c:pt>
                <c:pt idx="20">
                  <c:v>2019-08</c:v>
                </c:pt>
                <c:pt idx="21">
                  <c:v>2019-09</c:v>
                </c:pt>
                <c:pt idx="22">
                  <c:v>2019-10</c:v>
                </c:pt>
                <c:pt idx="23">
                  <c:v>2019-11</c:v>
                </c:pt>
                <c:pt idx="24">
                  <c:v>2019-12</c:v>
                </c:pt>
                <c:pt idx="25">
                  <c:v>2020-01</c:v>
                </c:pt>
                <c:pt idx="26">
                  <c:v>2020-02</c:v>
                </c:pt>
                <c:pt idx="27">
                  <c:v>2020-03</c:v>
                </c:pt>
                <c:pt idx="28">
                  <c:v>2020-04</c:v>
                </c:pt>
                <c:pt idx="29">
                  <c:v>2020-05</c:v>
                </c:pt>
                <c:pt idx="30">
                  <c:v>2020-06</c:v>
                </c:pt>
                <c:pt idx="31">
                  <c:v>2020-07</c:v>
                </c:pt>
                <c:pt idx="32">
                  <c:v>2020-08</c:v>
                </c:pt>
                <c:pt idx="33">
                  <c:v>2020-09</c:v>
                </c:pt>
                <c:pt idx="34">
                  <c:v>2020-10</c:v>
                </c:pt>
                <c:pt idx="35">
                  <c:v>2020-11</c:v>
                </c:pt>
                <c:pt idx="36">
                  <c:v>2020-12</c:v>
                </c:pt>
                <c:pt idx="37">
                  <c:v>2021-01</c:v>
                </c:pt>
                <c:pt idx="38">
                  <c:v>2021-02</c:v>
                </c:pt>
                <c:pt idx="39">
                  <c:v>2021-03</c:v>
                </c:pt>
                <c:pt idx="40">
                  <c:v>2021-04</c:v>
                </c:pt>
                <c:pt idx="41">
                  <c:v>2021-05</c:v>
                </c:pt>
                <c:pt idx="42">
                  <c:v>2021-06</c:v>
                </c:pt>
                <c:pt idx="43">
                  <c:v>2021-07</c:v>
                </c:pt>
                <c:pt idx="44">
                  <c:v>2021-08</c:v>
                </c:pt>
                <c:pt idx="45">
                  <c:v>2021-09</c:v>
                </c:pt>
                <c:pt idx="46">
                  <c:v>2021-10</c:v>
                </c:pt>
                <c:pt idx="47">
                  <c:v>2021-11</c:v>
                </c:pt>
                <c:pt idx="48">
                  <c:v>2021-12</c:v>
                </c:pt>
                <c:pt idx="49">
                  <c:v>2022-01</c:v>
                </c:pt>
                <c:pt idx="50">
                  <c:v>2022-02</c:v>
                </c:pt>
                <c:pt idx="51">
                  <c:v>2022-03</c:v>
                </c:pt>
                <c:pt idx="52">
                  <c:v>2022-04</c:v>
                </c:pt>
                <c:pt idx="53">
                  <c:v>2022-05</c:v>
                </c:pt>
                <c:pt idx="54">
                  <c:v>2022-06</c:v>
                </c:pt>
                <c:pt idx="55">
                  <c:v>2022-07</c:v>
                </c:pt>
                <c:pt idx="56">
                  <c:v>2022-08</c:v>
                </c:pt>
                <c:pt idx="57">
                  <c:v>2022-09</c:v>
                </c:pt>
                <c:pt idx="58">
                  <c:v>2022-10</c:v>
                </c:pt>
                <c:pt idx="59">
                  <c:v>2022-11</c:v>
                </c:pt>
                <c:pt idx="60">
                  <c:v>2022-12</c:v>
                </c:pt>
                <c:pt idx="61">
                  <c:v>2023-01</c:v>
                </c:pt>
                <c:pt idx="62">
                  <c:v>2023-02</c:v>
                </c:pt>
                <c:pt idx="63">
                  <c:v>2023-03</c:v>
                </c:pt>
                <c:pt idx="64">
                  <c:v>2023-04</c:v>
                </c:pt>
                <c:pt idx="65">
                  <c:v>2023-05</c:v>
                </c:pt>
                <c:pt idx="66">
                  <c:v>2023-06</c:v>
                </c:pt>
                <c:pt idx="67">
                  <c:v>2023-07</c:v>
                </c:pt>
                <c:pt idx="68">
                  <c:v>2023-08</c:v>
                </c:pt>
                <c:pt idx="69">
                  <c:v>2023-09</c:v>
                </c:pt>
                <c:pt idx="70">
                  <c:v>2023-10</c:v>
                </c:pt>
                <c:pt idx="71">
                  <c:v>2023-11</c:v>
                </c:pt>
                <c:pt idx="72">
                  <c:v>2023-12</c:v>
                </c:pt>
                <c:pt idx="73">
                  <c:v>2024-01</c:v>
                </c:pt>
                <c:pt idx="74">
                  <c:v>2024-02</c:v>
                </c:pt>
                <c:pt idx="75">
                  <c:v>2024-03</c:v>
                </c:pt>
                <c:pt idx="76">
                  <c:v>2024-04</c:v>
                </c:pt>
                <c:pt idx="77">
                  <c:v>2024-05</c:v>
                </c:pt>
                <c:pt idx="78">
                  <c:v>2024-06</c:v>
                </c:pt>
                <c:pt idx="79">
                  <c:v>2024-07</c:v>
                </c:pt>
                <c:pt idx="80">
                  <c:v>2024-08</c:v>
                </c:pt>
                <c:pt idx="81">
                  <c:v>2024-09</c:v>
                </c:pt>
                <c:pt idx="82">
                  <c:v>2024-10</c:v>
                </c:pt>
                <c:pt idx="83">
                  <c:v>2024-11</c:v>
                </c:pt>
                <c:pt idx="84">
                  <c:v>2024-12</c:v>
                </c:pt>
                <c:pt idx="85">
                  <c:v>2025-01</c:v>
                </c:pt>
                <c:pt idx="86">
                  <c:v>2025-02</c:v>
                </c:pt>
                <c:pt idx="87">
                  <c:v>2025-03</c:v>
                </c:pt>
                <c:pt idx="88">
                  <c:v>2025-04</c:v>
                </c:pt>
                <c:pt idx="89">
                  <c:v>2025-05</c:v>
                </c:pt>
                <c:pt idx="90">
                  <c:v>2025-06</c:v>
                </c:pt>
                <c:pt idx="91">
                  <c:v>2025-07</c:v>
                </c:pt>
                <c:pt idx="92">
                  <c:v>2025-08</c:v>
                </c:pt>
                <c:pt idx="93">
                  <c:v>2025-09</c:v>
                </c:pt>
                <c:pt idx="94">
                  <c:v>2025-10</c:v>
                </c:pt>
                <c:pt idx="95">
                  <c:v>2025-11</c:v>
                </c:pt>
                <c:pt idx="96">
                  <c:v>2025-12</c:v>
                </c:pt>
                <c:pt idx="97">
                  <c:v>2026-01</c:v>
                </c:pt>
                <c:pt idx="98">
                  <c:v>2026-02</c:v>
                </c:pt>
                <c:pt idx="99">
                  <c:v>2026-03</c:v>
                </c:pt>
                <c:pt idx="100">
                  <c:v>2026-04</c:v>
                </c:pt>
                <c:pt idx="101">
                  <c:v>2026-05</c:v>
                </c:pt>
                <c:pt idx="102">
                  <c:v>2026-06</c:v>
                </c:pt>
                <c:pt idx="103">
                  <c:v>2026-07</c:v>
                </c:pt>
                <c:pt idx="104">
                  <c:v>2026-08</c:v>
                </c:pt>
                <c:pt idx="105">
                  <c:v>2026-09</c:v>
                </c:pt>
                <c:pt idx="106">
                  <c:v>2026-10</c:v>
                </c:pt>
                <c:pt idx="107">
                  <c:v>2026-11</c:v>
                </c:pt>
                <c:pt idx="108">
                  <c:v>2026-12</c:v>
                </c:pt>
                <c:pt idx="109">
                  <c:v>2027-01</c:v>
                </c:pt>
              </c:strCache>
            </c:strRef>
          </c:cat>
          <c:val>
            <c:numRef>
              <c:f>'WAC List Price'!$C$30:$C$139</c:f>
              <c:numCache>
                <c:formatCode>\$#,##0.00</c:formatCode>
                <c:ptCount val="110"/>
                <c:pt idx="42">
                  <c:v>1349.02</c:v>
                </c:pt>
                <c:pt idx="43">
                  <c:v>1349.02</c:v>
                </c:pt>
                <c:pt idx="44">
                  <c:v>1349.02</c:v>
                </c:pt>
                <c:pt idx="45">
                  <c:v>1349.02</c:v>
                </c:pt>
                <c:pt idx="46">
                  <c:v>1349.02</c:v>
                </c:pt>
                <c:pt idx="47">
                  <c:v>1349.02</c:v>
                </c:pt>
                <c:pt idx="48">
                  <c:v>1349.02</c:v>
                </c:pt>
                <c:pt idx="49">
                  <c:v>1349.02</c:v>
                </c:pt>
                <c:pt idx="50">
                  <c:v>1349.02</c:v>
                </c:pt>
                <c:pt idx="51">
                  <c:v>1349.02</c:v>
                </c:pt>
                <c:pt idx="52">
                  <c:v>1349.02</c:v>
                </c:pt>
                <c:pt idx="53">
                  <c:v>1349.02</c:v>
                </c:pt>
                <c:pt idx="54">
                  <c:v>1349.02</c:v>
                </c:pt>
                <c:pt idx="55">
                  <c:v>1349.02</c:v>
                </c:pt>
                <c:pt idx="56">
                  <c:v>1349.02</c:v>
                </c:pt>
                <c:pt idx="57">
                  <c:v>1349.02</c:v>
                </c:pt>
                <c:pt idx="58">
                  <c:v>1349.02</c:v>
                </c:pt>
                <c:pt idx="59">
                  <c:v>1349.02</c:v>
                </c:pt>
                <c:pt idx="60">
                  <c:v>1349.02</c:v>
                </c:pt>
                <c:pt idx="61">
                  <c:v>1349.02</c:v>
                </c:pt>
                <c:pt idx="62">
                  <c:v>1349.02</c:v>
                </c:pt>
                <c:pt idx="63">
                  <c:v>1349.02</c:v>
                </c:pt>
                <c:pt idx="64">
                  <c:v>1349.02</c:v>
                </c:pt>
                <c:pt idx="65">
                  <c:v>1349.02</c:v>
                </c:pt>
                <c:pt idx="66">
                  <c:v>1349.02</c:v>
                </c:pt>
                <c:pt idx="67">
                  <c:v>1349.02</c:v>
                </c:pt>
                <c:pt idx="68">
                  <c:v>1349.02</c:v>
                </c:pt>
                <c:pt idx="69">
                  <c:v>1349.02</c:v>
                </c:pt>
                <c:pt idx="70">
                  <c:v>1349.02</c:v>
                </c:pt>
                <c:pt idx="71">
                  <c:v>1349.02</c:v>
                </c:pt>
                <c:pt idx="72">
                  <c:v>1349.02</c:v>
                </c:pt>
                <c:pt idx="73">
                  <c:v>1349.02</c:v>
                </c:pt>
                <c:pt idx="74">
                  <c:v>1349.02</c:v>
                </c:pt>
                <c:pt idx="75">
                  <c:v>1349.02</c:v>
                </c:pt>
                <c:pt idx="76">
                  <c:v>1349.02</c:v>
                </c:pt>
                <c:pt idx="77">
                  <c:v>1349.02</c:v>
                </c:pt>
                <c:pt idx="78">
                  <c:v>1349.02</c:v>
                </c:pt>
                <c:pt idx="79">
                  <c:v>1349.02</c:v>
                </c:pt>
                <c:pt idx="80">
                  <c:v>1349.02</c:v>
                </c:pt>
                <c:pt idx="81">
                  <c:v>1349.02</c:v>
                </c:pt>
                <c:pt idx="82">
                  <c:v>1349.02</c:v>
                </c:pt>
                <c:pt idx="83">
                  <c:v>1349.02</c:v>
                </c:pt>
                <c:pt idx="84">
                  <c:v>1349.02</c:v>
                </c:pt>
                <c:pt idx="85">
                  <c:v>1349.02</c:v>
                </c:pt>
                <c:pt idx="86">
                  <c:v>1349.02</c:v>
                </c:pt>
                <c:pt idx="87">
                  <c:v>1349.02</c:v>
                </c:pt>
                <c:pt idx="88">
                  <c:v>1349.02</c:v>
                </c:pt>
                <c:pt idx="89">
                  <c:v>1349.02</c:v>
                </c:pt>
                <c:pt idx="90">
                  <c:v>1349.02</c:v>
                </c:pt>
                <c:pt idx="91">
                  <c:v>1349.02</c:v>
                </c:pt>
                <c:pt idx="92">
                  <c:v>1349.02</c:v>
                </c:pt>
                <c:pt idx="93">
                  <c:v>1349.02</c:v>
                </c:pt>
                <c:pt idx="94">
                  <c:v>1349.02</c:v>
                </c:pt>
                <c:pt idx="95">
                  <c:v>1349.02</c:v>
                </c:pt>
                <c:pt idx="96">
                  <c:v>1349.02</c:v>
                </c:pt>
                <c:pt idx="97">
                  <c:v>1349.02</c:v>
                </c:pt>
                <c:pt idx="98">
                  <c:v>1349.02</c:v>
                </c:pt>
                <c:pt idx="99">
                  <c:v>1349.02</c:v>
                </c:pt>
                <c:pt idx="100">
                  <c:v>1349.02</c:v>
                </c:pt>
                <c:pt idx="101">
                  <c:v>1349.02</c:v>
                </c:pt>
                <c:pt idx="102">
                  <c:v>1349.02</c:v>
                </c:pt>
                <c:pt idx="103">
                  <c:v>1349.02</c:v>
                </c:pt>
                <c:pt idx="104">
                  <c:v>1349.02</c:v>
                </c:pt>
                <c:pt idx="105">
                  <c:v>1349.02</c:v>
                </c:pt>
                <c:pt idx="106">
                  <c:v>1349.02</c:v>
                </c:pt>
                <c:pt idx="107">
                  <c:v>1349.02</c:v>
                </c:pt>
                <c:pt idx="108">
                  <c:v>1349.02</c:v>
                </c:pt>
                <c:pt idx="109">
                  <c:v>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CA-4A4F-9643-A6ADDBE9B2E1}"/>
            </c:ext>
          </c:extLst>
        </c:ser>
        <c:ser>
          <c:idx val="2"/>
          <c:order val="2"/>
          <c:tx>
            <c:v>Mounjaro</c:v>
          </c:tx>
          <c:spPr>
            <a:ln w="19050">
              <a:solidFill>
                <a:srgbClr val="0F766E"/>
              </a:solidFill>
            </a:ln>
          </c:spPr>
          <c:marker>
            <c:symbol val="none"/>
          </c:marker>
          <c:cat>
            <c:strRef>
              <c:f>'WAC List Price'!$A$30:$A$139</c:f>
              <c:strCache>
                <c:ptCount val="110"/>
                <c:pt idx="0">
                  <c:v>2017-12</c:v>
                </c:pt>
                <c:pt idx="1">
                  <c:v>2018-01</c:v>
                </c:pt>
                <c:pt idx="2">
                  <c:v>2018-02</c:v>
                </c:pt>
                <c:pt idx="3">
                  <c:v>2018-03</c:v>
                </c:pt>
                <c:pt idx="4">
                  <c:v>2018-04</c:v>
                </c:pt>
                <c:pt idx="5">
                  <c:v>2018-05</c:v>
                </c:pt>
                <c:pt idx="6">
                  <c:v>2018-06</c:v>
                </c:pt>
                <c:pt idx="7">
                  <c:v>2018-07</c:v>
                </c:pt>
                <c:pt idx="8">
                  <c:v>2018-08</c:v>
                </c:pt>
                <c:pt idx="9">
                  <c:v>2018-09</c:v>
                </c:pt>
                <c:pt idx="10">
                  <c:v>2018-10</c:v>
                </c:pt>
                <c:pt idx="11">
                  <c:v>2018-11</c:v>
                </c:pt>
                <c:pt idx="12">
                  <c:v>2018-12</c:v>
                </c:pt>
                <c:pt idx="13">
                  <c:v>2019-01</c:v>
                </c:pt>
                <c:pt idx="14">
                  <c:v>2019-02</c:v>
                </c:pt>
                <c:pt idx="15">
                  <c:v>2019-03</c:v>
                </c:pt>
                <c:pt idx="16">
                  <c:v>2019-04</c:v>
                </c:pt>
                <c:pt idx="17">
                  <c:v>2019-05</c:v>
                </c:pt>
                <c:pt idx="18">
                  <c:v>2019-06</c:v>
                </c:pt>
                <c:pt idx="19">
                  <c:v>2019-07</c:v>
                </c:pt>
                <c:pt idx="20">
                  <c:v>2019-08</c:v>
                </c:pt>
                <c:pt idx="21">
                  <c:v>2019-09</c:v>
                </c:pt>
                <c:pt idx="22">
                  <c:v>2019-10</c:v>
                </c:pt>
                <c:pt idx="23">
                  <c:v>2019-11</c:v>
                </c:pt>
                <c:pt idx="24">
                  <c:v>2019-12</c:v>
                </c:pt>
                <c:pt idx="25">
                  <c:v>2020-01</c:v>
                </c:pt>
                <c:pt idx="26">
                  <c:v>2020-02</c:v>
                </c:pt>
                <c:pt idx="27">
                  <c:v>2020-03</c:v>
                </c:pt>
                <c:pt idx="28">
                  <c:v>2020-04</c:v>
                </c:pt>
                <c:pt idx="29">
                  <c:v>2020-05</c:v>
                </c:pt>
                <c:pt idx="30">
                  <c:v>2020-06</c:v>
                </c:pt>
                <c:pt idx="31">
                  <c:v>2020-07</c:v>
                </c:pt>
                <c:pt idx="32">
                  <c:v>2020-08</c:v>
                </c:pt>
                <c:pt idx="33">
                  <c:v>2020-09</c:v>
                </c:pt>
                <c:pt idx="34">
                  <c:v>2020-10</c:v>
                </c:pt>
                <c:pt idx="35">
                  <c:v>2020-11</c:v>
                </c:pt>
                <c:pt idx="36">
                  <c:v>2020-12</c:v>
                </c:pt>
                <c:pt idx="37">
                  <c:v>2021-01</c:v>
                </c:pt>
                <c:pt idx="38">
                  <c:v>2021-02</c:v>
                </c:pt>
                <c:pt idx="39">
                  <c:v>2021-03</c:v>
                </c:pt>
                <c:pt idx="40">
                  <c:v>2021-04</c:v>
                </c:pt>
                <c:pt idx="41">
                  <c:v>2021-05</c:v>
                </c:pt>
                <c:pt idx="42">
                  <c:v>2021-06</c:v>
                </c:pt>
                <c:pt idx="43">
                  <c:v>2021-07</c:v>
                </c:pt>
                <c:pt idx="44">
                  <c:v>2021-08</c:v>
                </c:pt>
                <c:pt idx="45">
                  <c:v>2021-09</c:v>
                </c:pt>
                <c:pt idx="46">
                  <c:v>2021-10</c:v>
                </c:pt>
                <c:pt idx="47">
                  <c:v>2021-11</c:v>
                </c:pt>
                <c:pt idx="48">
                  <c:v>2021-12</c:v>
                </c:pt>
                <c:pt idx="49">
                  <c:v>2022-01</c:v>
                </c:pt>
                <c:pt idx="50">
                  <c:v>2022-02</c:v>
                </c:pt>
                <c:pt idx="51">
                  <c:v>2022-03</c:v>
                </c:pt>
                <c:pt idx="52">
                  <c:v>2022-04</c:v>
                </c:pt>
                <c:pt idx="53">
                  <c:v>2022-05</c:v>
                </c:pt>
                <c:pt idx="54">
                  <c:v>2022-06</c:v>
                </c:pt>
                <c:pt idx="55">
                  <c:v>2022-07</c:v>
                </c:pt>
                <c:pt idx="56">
                  <c:v>2022-08</c:v>
                </c:pt>
                <c:pt idx="57">
                  <c:v>2022-09</c:v>
                </c:pt>
                <c:pt idx="58">
                  <c:v>2022-10</c:v>
                </c:pt>
                <c:pt idx="59">
                  <c:v>2022-11</c:v>
                </c:pt>
                <c:pt idx="60">
                  <c:v>2022-12</c:v>
                </c:pt>
                <c:pt idx="61">
                  <c:v>2023-01</c:v>
                </c:pt>
                <c:pt idx="62">
                  <c:v>2023-02</c:v>
                </c:pt>
                <c:pt idx="63">
                  <c:v>2023-03</c:v>
                </c:pt>
                <c:pt idx="64">
                  <c:v>2023-04</c:v>
                </c:pt>
                <c:pt idx="65">
                  <c:v>2023-05</c:v>
                </c:pt>
                <c:pt idx="66">
                  <c:v>2023-06</c:v>
                </c:pt>
                <c:pt idx="67">
                  <c:v>2023-07</c:v>
                </c:pt>
                <c:pt idx="68">
                  <c:v>2023-08</c:v>
                </c:pt>
                <c:pt idx="69">
                  <c:v>2023-09</c:v>
                </c:pt>
                <c:pt idx="70">
                  <c:v>2023-10</c:v>
                </c:pt>
                <c:pt idx="71">
                  <c:v>2023-11</c:v>
                </c:pt>
                <c:pt idx="72">
                  <c:v>2023-12</c:v>
                </c:pt>
                <c:pt idx="73">
                  <c:v>2024-01</c:v>
                </c:pt>
                <c:pt idx="74">
                  <c:v>2024-02</c:v>
                </c:pt>
                <c:pt idx="75">
                  <c:v>2024-03</c:v>
                </c:pt>
                <c:pt idx="76">
                  <c:v>2024-04</c:v>
                </c:pt>
                <c:pt idx="77">
                  <c:v>2024-05</c:v>
                </c:pt>
                <c:pt idx="78">
                  <c:v>2024-06</c:v>
                </c:pt>
                <c:pt idx="79">
                  <c:v>2024-07</c:v>
                </c:pt>
                <c:pt idx="80">
                  <c:v>2024-08</c:v>
                </c:pt>
                <c:pt idx="81">
                  <c:v>2024-09</c:v>
                </c:pt>
                <c:pt idx="82">
                  <c:v>2024-10</c:v>
                </c:pt>
                <c:pt idx="83">
                  <c:v>2024-11</c:v>
                </c:pt>
                <c:pt idx="84">
                  <c:v>2024-12</c:v>
                </c:pt>
                <c:pt idx="85">
                  <c:v>2025-01</c:v>
                </c:pt>
                <c:pt idx="86">
                  <c:v>2025-02</c:v>
                </c:pt>
                <c:pt idx="87">
                  <c:v>2025-03</c:v>
                </c:pt>
                <c:pt idx="88">
                  <c:v>2025-04</c:v>
                </c:pt>
                <c:pt idx="89">
                  <c:v>2025-05</c:v>
                </c:pt>
                <c:pt idx="90">
                  <c:v>2025-06</c:v>
                </c:pt>
                <c:pt idx="91">
                  <c:v>2025-07</c:v>
                </c:pt>
                <c:pt idx="92">
                  <c:v>2025-08</c:v>
                </c:pt>
                <c:pt idx="93">
                  <c:v>2025-09</c:v>
                </c:pt>
                <c:pt idx="94">
                  <c:v>2025-10</c:v>
                </c:pt>
                <c:pt idx="95">
                  <c:v>2025-11</c:v>
                </c:pt>
                <c:pt idx="96">
                  <c:v>2025-12</c:v>
                </c:pt>
                <c:pt idx="97">
                  <c:v>2026-01</c:v>
                </c:pt>
                <c:pt idx="98">
                  <c:v>2026-02</c:v>
                </c:pt>
                <c:pt idx="99">
                  <c:v>2026-03</c:v>
                </c:pt>
                <c:pt idx="100">
                  <c:v>2026-04</c:v>
                </c:pt>
                <c:pt idx="101">
                  <c:v>2026-05</c:v>
                </c:pt>
                <c:pt idx="102">
                  <c:v>2026-06</c:v>
                </c:pt>
                <c:pt idx="103">
                  <c:v>2026-07</c:v>
                </c:pt>
                <c:pt idx="104">
                  <c:v>2026-08</c:v>
                </c:pt>
                <c:pt idx="105">
                  <c:v>2026-09</c:v>
                </c:pt>
                <c:pt idx="106">
                  <c:v>2026-10</c:v>
                </c:pt>
                <c:pt idx="107">
                  <c:v>2026-11</c:v>
                </c:pt>
                <c:pt idx="108">
                  <c:v>2026-12</c:v>
                </c:pt>
                <c:pt idx="109">
                  <c:v>2027-01</c:v>
                </c:pt>
              </c:strCache>
            </c:strRef>
          </c:cat>
          <c:val>
            <c:numRef>
              <c:f>'WAC List Price'!$D$30:$D$139</c:f>
              <c:numCache>
                <c:formatCode>\$#,##0.00</c:formatCode>
                <c:ptCount val="110"/>
                <c:pt idx="53">
                  <c:v>974.33</c:v>
                </c:pt>
                <c:pt idx="54">
                  <c:v>974.33</c:v>
                </c:pt>
                <c:pt idx="55">
                  <c:v>974.33</c:v>
                </c:pt>
                <c:pt idx="56">
                  <c:v>974.33</c:v>
                </c:pt>
                <c:pt idx="57">
                  <c:v>974.33</c:v>
                </c:pt>
                <c:pt idx="58">
                  <c:v>974.33</c:v>
                </c:pt>
                <c:pt idx="59">
                  <c:v>974.33</c:v>
                </c:pt>
                <c:pt idx="60">
                  <c:v>974.33</c:v>
                </c:pt>
                <c:pt idx="61">
                  <c:v>974.33</c:v>
                </c:pt>
                <c:pt idx="62">
                  <c:v>974.33</c:v>
                </c:pt>
                <c:pt idx="63">
                  <c:v>974.33</c:v>
                </c:pt>
                <c:pt idx="64">
                  <c:v>974.33</c:v>
                </c:pt>
                <c:pt idx="65">
                  <c:v>974.33</c:v>
                </c:pt>
                <c:pt idx="66">
                  <c:v>974.33</c:v>
                </c:pt>
                <c:pt idx="67">
                  <c:v>974.33</c:v>
                </c:pt>
                <c:pt idx="68">
                  <c:v>974.33</c:v>
                </c:pt>
                <c:pt idx="69">
                  <c:v>974.33</c:v>
                </c:pt>
                <c:pt idx="70">
                  <c:v>974.33</c:v>
                </c:pt>
                <c:pt idx="71">
                  <c:v>974.33</c:v>
                </c:pt>
                <c:pt idx="72">
                  <c:v>974.33</c:v>
                </c:pt>
                <c:pt idx="73">
                  <c:v>974.33</c:v>
                </c:pt>
                <c:pt idx="74">
                  <c:v>974.33</c:v>
                </c:pt>
                <c:pt idx="75">
                  <c:v>974.33</c:v>
                </c:pt>
                <c:pt idx="76">
                  <c:v>974.33</c:v>
                </c:pt>
                <c:pt idx="77">
                  <c:v>1069.08</c:v>
                </c:pt>
                <c:pt idx="78">
                  <c:v>1069.08</c:v>
                </c:pt>
                <c:pt idx="79">
                  <c:v>1069.08</c:v>
                </c:pt>
                <c:pt idx="80">
                  <c:v>1069.08</c:v>
                </c:pt>
                <c:pt idx="81">
                  <c:v>1069.08</c:v>
                </c:pt>
                <c:pt idx="82">
                  <c:v>1069.08</c:v>
                </c:pt>
                <c:pt idx="83">
                  <c:v>1069.08</c:v>
                </c:pt>
                <c:pt idx="84">
                  <c:v>1069.08</c:v>
                </c:pt>
                <c:pt idx="85">
                  <c:v>1069.08</c:v>
                </c:pt>
                <c:pt idx="86">
                  <c:v>1069.08</c:v>
                </c:pt>
                <c:pt idx="87">
                  <c:v>1069.08</c:v>
                </c:pt>
                <c:pt idx="88">
                  <c:v>1069.08</c:v>
                </c:pt>
                <c:pt idx="89">
                  <c:v>1069.08</c:v>
                </c:pt>
                <c:pt idx="90">
                  <c:v>1069.08</c:v>
                </c:pt>
                <c:pt idx="91">
                  <c:v>1069.08</c:v>
                </c:pt>
                <c:pt idx="92">
                  <c:v>1069.08</c:v>
                </c:pt>
                <c:pt idx="93">
                  <c:v>1069.08</c:v>
                </c:pt>
                <c:pt idx="94">
                  <c:v>1069.08</c:v>
                </c:pt>
                <c:pt idx="95">
                  <c:v>1069.08</c:v>
                </c:pt>
                <c:pt idx="96">
                  <c:v>1069.08</c:v>
                </c:pt>
                <c:pt idx="97">
                  <c:v>1069.08</c:v>
                </c:pt>
                <c:pt idx="98">
                  <c:v>1069.08</c:v>
                </c:pt>
                <c:pt idx="99">
                  <c:v>1069.08</c:v>
                </c:pt>
                <c:pt idx="100">
                  <c:v>1069.08</c:v>
                </c:pt>
                <c:pt idx="101">
                  <c:v>1069.08</c:v>
                </c:pt>
                <c:pt idx="102">
                  <c:v>1069.08</c:v>
                </c:pt>
                <c:pt idx="103">
                  <c:v>1069.08</c:v>
                </c:pt>
                <c:pt idx="104">
                  <c:v>1069.08</c:v>
                </c:pt>
                <c:pt idx="105">
                  <c:v>1112.1600000000001</c:v>
                </c:pt>
                <c:pt idx="106">
                  <c:v>1112.1600000000001</c:v>
                </c:pt>
                <c:pt idx="107">
                  <c:v>1112.1600000000001</c:v>
                </c:pt>
                <c:pt idx="108">
                  <c:v>1112.1600000000001</c:v>
                </c:pt>
                <c:pt idx="109">
                  <c:v>1112.1600000000001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CA-4A4F-9643-A6ADDBE9B2E1}"/>
            </c:ext>
          </c:extLst>
        </c:ser>
        <c:ser>
          <c:idx val="3"/>
          <c:order val="3"/>
          <c:tx>
            <c:v>Zepbound</c:v>
          </c:tx>
          <c:spPr>
            <a:ln w="19050">
              <a:solidFill>
                <a:srgbClr val="B91C1C"/>
              </a:solidFill>
            </a:ln>
          </c:spPr>
          <c:marker>
            <c:symbol val="none"/>
          </c:marker>
          <c:cat>
            <c:strRef>
              <c:f>'WAC List Price'!$A$30:$A$139</c:f>
              <c:strCache>
                <c:ptCount val="110"/>
                <c:pt idx="0">
                  <c:v>2017-12</c:v>
                </c:pt>
                <c:pt idx="1">
                  <c:v>2018-01</c:v>
                </c:pt>
                <c:pt idx="2">
                  <c:v>2018-02</c:v>
                </c:pt>
                <c:pt idx="3">
                  <c:v>2018-03</c:v>
                </c:pt>
                <c:pt idx="4">
                  <c:v>2018-04</c:v>
                </c:pt>
                <c:pt idx="5">
                  <c:v>2018-05</c:v>
                </c:pt>
                <c:pt idx="6">
                  <c:v>2018-06</c:v>
                </c:pt>
                <c:pt idx="7">
                  <c:v>2018-07</c:v>
                </c:pt>
                <c:pt idx="8">
                  <c:v>2018-08</c:v>
                </c:pt>
                <c:pt idx="9">
                  <c:v>2018-09</c:v>
                </c:pt>
                <c:pt idx="10">
                  <c:v>2018-10</c:v>
                </c:pt>
                <c:pt idx="11">
                  <c:v>2018-11</c:v>
                </c:pt>
                <c:pt idx="12">
                  <c:v>2018-12</c:v>
                </c:pt>
                <c:pt idx="13">
                  <c:v>2019-01</c:v>
                </c:pt>
                <c:pt idx="14">
                  <c:v>2019-02</c:v>
                </c:pt>
                <c:pt idx="15">
                  <c:v>2019-03</c:v>
                </c:pt>
                <c:pt idx="16">
                  <c:v>2019-04</c:v>
                </c:pt>
                <c:pt idx="17">
                  <c:v>2019-05</c:v>
                </c:pt>
                <c:pt idx="18">
                  <c:v>2019-06</c:v>
                </c:pt>
                <c:pt idx="19">
                  <c:v>2019-07</c:v>
                </c:pt>
                <c:pt idx="20">
                  <c:v>2019-08</c:v>
                </c:pt>
                <c:pt idx="21">
                  <c:v>2019-09</c:v>
                </c:pt>
                <c:pt idx="22">
                  <c:v>2019-10</c:v>
                </c:pt>
                <c:pt idx="23">
                  <c:v>2019-11</c:v>
                </c:pt>
                <c:pt idx="24">
                  <c:v>2019-12</c:v>
                </c:pt>
                <c:pt idx="25">
                  <c:v>2020-01</c:v>
                </c:pt>
                <c:pt idx="26">
                  <c:v>2020-02</c:v>
                </c:pt>
                <c:pt idx="27">
                  <c:v>2020-03</c:v>
                </c:pt>
                <c:pt idx="28">
                  <c:v>2020-04</c:v>
                </c:pt>
                <c:pt idx="29">
                  <c:v>2020-05</c:v>
                </c:pt>
                <c:pt idx="30">
                  <c:v>2020-06</c:v>
                </c:pt>
                <c:pt idx="31">
                  <c:v>2020-07</c:v>
                </c:pt>
                <c:pt idx="32">
                  <c:v>2020-08</c:v>
                </c:pt>
                <c:pt idx="33">
                  <c:v>2020-09</c:v>
                </c:pt>
                <c:pt idx="34">
                  <c:v>2020-10</c:v>
                </c:pt>
                <c:pt idx="35">
                  <c:v>2020-11</c:v>
                </c:pt>
                <c:pt idx="36">
                  <c:v>2020-12</c:v>
                </c:pt>
                <c:pt idx="37">
                  <c:v>2021-01</c:v>
                </c:pt>
                <c:pt idx="38">
                  <c:v>2021-02</c:v>
                </c:pt>
                <c:pt idx="39">
                  <c:v>2021-03</c:v>
                </c:pt>
                <c:pt idx="40">
                  <c:v>2021-04</c:v>
                </c:pt>
                <c:pt idx="41">
                  <c:v>2021-05</c:v>
                </c:pt>
                <c:pt idx="42">
                  <c:v>2021-06</c:v>
                </c:pt>
                <c:pt idx="43">
                  <c:v>2021-07</c:v>
                </c:pt>
                <c:pt idx="44">
                  <c:v>2021-08</c:v>
                </c:pt>
                <c:pt idx="45">
                  <c:v>2021-09</c:v>
                </c:pt>
                <c:pt idx="46">
                  <c:v>2021-10</c:v>
                </c:pt>
                <c:pt idx="47">
                  <c:v>2021-11</c:v>
                </c:pt>
                <c:pt idx="48">
                  <c:v>2021-12</c:v>
                </c:pt>
                <c:pt idx="49">
                  <c:v>2022-01</c:v>
                </c:pt>
                <c:pt idx="50">
                  <c:v>2022-02</c:v>
                </c:pt>
                <c:pt idx="51">
                  <c:v>2022-03</c:v>
                </c:pt>
                <c:pt idx="52">
                  <c:v>2022-04</c:v>
                </c:pt>
                <c:pt idx="53">
                  <c:v>2022-05</c:v>
                </c:pt>
                <c:pt idx="54">
                  <c:v>2022-06</c:v>
                </c:pt>
                <c:pt idx="55">
                  <c:v>2022-07</c:v>
                </c:pt>
                <c:pt idx="56">
                  <c:v>2022-08</c:v>
                </c:pt>
                <c:pt idx="57">
                  <c:v>2022-09</c:v>
                </c:pt>
                <c:pt idx="58">
                  <c:v>2022-10</c:v>
                </c:pt>
                <c:pt idx="59">
                  <c:v>2022-11</c:v>
                </c:pt>
                <c:pt idx="60">
                  <c:v>2022-12</c:v>
                </c:pt>
                <c:pt idx="61">
                  <c:v>2023-01</c:v>
                </c:pt>
                <c:pt idx="62">
                  <c:v>2023-02</c:v>
                </c:pt>
                <c:pt idx="63">
                  <c:v>2023-03</c:v>
                </c:pt>
                <c:pt idx="64">
                  <c:v>2023-04</c:v>
                </c:pt>
                <c:pt idx="65">
                  <c:v>2023-05</c:v>
                </c:pt>
                <c:pt idx="66">
                  <c:v>2023-06</c:v>
                </c:pt>
                <c:pt idx="67">
                  <c:v>2023-07</c:v>
                </c:pt>
                <c:pt idx="68">
                  <c:v>2023-08</c:v>
                </c:pt>
                <c:pt idx="69">
                  <c:v>2023-09</c:v>
                </c:pt>
                <c:pt idx="70">
                  <c:v>2023-10</c:v>
                </c:pt>
                <c:pt idx="71">
                  <c:v>2023-11</c:v>
                </c:pt>
                <c:pt idx="72">
                  <c:v>2023-12</c:v>
                </c:pt>
                <c:pt idx="73">
                  <c:v>2024-01</c:v>
                </c:pt>
                <c:pt idx="74">
                  <c:v>2024-02</c:v>
                </c:pt>
                <c:pt idx="75">
                  <c:v>2024-03</c:v>
                </c:pt>
                <c:pt idx="76">
                  <c:v>2024-04</c:v>
                </c:pt>
                <c:pt idx="77">
                  <c:v>2024-05</c:v>
                </c:pt>
                <c:pt idx="78">
                  <c:v>2024-06</c:v>
                </c:pt>
                <c:pt idx="79">
                  <c:v>2024-07</c:v>
                </c:pt>
                <c:pt idx="80">
                  <c:v>2024-08</c:v>
                </c:pt>
                <c:pt idx="81">
                  <c:v>2024-09</c:v>
                </c:pt>
                <c:pt idx="82">
                  <c:v>2024-10</c:v>
                </c:pt>
                <c:pt idx="83">
                  <c:v>2024-11</c:v>
                </c:pt>
                <c:pt idx="84">
                  <c:v>2024-12</c:v>
                </c:pt>
                <c:pt idx="85">
                  <c:v>2025-01</c:v>
                </c:pt>
                <c:pt idx="86">
                  <c:v>2025-02</c:v>
                </c:pt>
                <c:pt idx="87">
                  <c:v>2025-03</c:v>
                </c:pt>
                <c:pt idx="88">
                  <c:v>2025-04</c:v>
                </c:pt>
                <c:pt idx="89">
                  <c:v>2025-05</c:v>
                </c:pt>
                <c:pt idx="90">
                  <c:v>2025-06</c:v>
                </c:pt>
                <c:pt idx="91">
                  <c:v>2025-07</c:v>
                </c:pt>
                <c:pt idx="92">
                  <c:v>2025-08</c:v>
                </c:pt>
                <c:pt idx="93">
                  <c:v>2025-09</c:v>
                </c:pt>
                <c:pt idx="94">
                  <c:v>2025-10</c:v>
                </c:pt>
                <c:pt idx="95">
                  <c:v>2025-11</c:v>
                </c:pt>
                <c:pt idx="96">
                  <c:v>2025-12</c:v>
                </c:pt>
                <c:pt idx="97">
                  <c:v>2026-01</c:v>
                </c:pt>
                <c:pt idx="98">
                  <c:v>2026-02</c:v>
                </c:pt>
                <c:pt idx="99">
                  <c:v>2026-03</c:v>
                </c:pt>
                <c:pt idx="100">
                  <c:v>2026-04</c:v>
                </c:pt>
                <c:pt idx="101">
                  <c:v>2026-05</c:v>
                </c:pt>
                <c:pt idx="102">
                  <c:v>2026-06</c:v>
                </c:pt>
                <c:pt idx="103">
                  <c:v>2026-07</c:v>
                </c:pt>
                <c:pt idx="104">
                  <c:v>2026-08</c:v>
                </c:pt>
                <c:pt idx="105">
                  <c:v>2026-09</c:v>
                </c:pt>
                <c:pt idx="106">
                  <c:v>2026-10</c:v>
                </c:pt>
                <c:pt idx="107">
                  <c:v>2026-11</c:v>
                </c:pt>
                <c:pt idx="108">
                  <c:v>2026-12</c:v>
                </c:pt>
                <c:pt idx="109">
                  <c:v>2027-01</c:v>
                </c:pt>
              </c:strCache>
            </c:strRef>
          </c:cat>
          <c:val>
            <c:numRef>
              <c:f>'WAC List Price'!$E$30:$E$139</c:f>
              <c:numCache>
                <c:formatCode>\$#,##0.00</c:formatCode>
                <c:ptCount val="110"/>
                <c:pt idx="71">
                  <c:v>1059.8699999999999</c:v>
                </c:pt>
                <c:pt idx="72">
                  <c:v>1059.8699999999999</c:v>
                </c:pt>
                <c:pt idx="73">
                  <c:v>1059.8699999999999</c:v>
                </c:pt>
                <c:pt idx="74">
                  <c:v>1059.8699999999999</c:v>
                </c:pt>
                <c:pt idx="75">
                  <c:v>1059.8699999999999</c:v>
                </c:pt>
                <c:pt idx="76">
                  <c:v>1059.8699999999999</c:v>
                </c:pt>
                <c:pt idx="77">
                  <c:v>1059.8699999999999</c:v>
                </c:pt>
                <c:pt idx="78">
                  <c:v>1059.8699999999999</c:v>
                </c:pt>
                <c:pt idx="79">
                  <c:v>1059.8699999999999</c:v>
                </c:pt>
                <c:pt idx="80">
                  <c:v>1059.8699999999999</c:v>
                </c:pt>
                <c:pt idx="81">
                  <c:v>1059.8699999999999</c:v>
                </c:pt>
                <c:pt idx="82">
                  <c:v>1059.8699999999999</c:v>
                </c:pt>
                <c:pt idx="83">
                  <c:v>1059.8699999999999</c:v>
                </c:pt>
                <c:pt idx="84">
                  <c:v>1059.8699999999999</c:v>
                </c:pt>
                <c:pt idx="85">
                  <c:v>1059.8699999999999</c:v>
                </c:pt>
                <c:pt idx="86">
                  <c:v>1059.8699999999999</c:v>
                </c:pt>
                <c:pt idx="87">
                  <c:v>1059.8699999999999</c:v>
                </c:pt>
                <c:pt idx="88">
                  <c:v>1059.8699999999999</c:v>
                </c:pt>
                <c:pt idx="89">
                  <c:v>1059.8699999999999</c:v>
                </c:pt>
                <c:pt idx="90">
                  <c:v>1059.8699999999999</c:v>
                </c:pt>
                <c:pt idx="91">
                  <c:v>1059.8699999999999</c:v>
                </c:pt>
                <c:pt idx="92">
                  <c:v>1059.8699999999999</c:v>
                </c:pt>
                <c:pt idx="93">
                  <c:v>1059.8699999999999</c:v>
                </c:pt>
                <c:pt idx="94">
                  <c:v>1059.8699999999999</c:v>
                </c:pt>
                <c:pt idx="95">
                  <c:v>1059.8699999999999</c:v>
                </c:pt>
                <c:pt idx="96">
                  <c:v>1059.8699999999999</c:v>
                </c:pt>
                <c:pt idx="97">
                  <c:v>1059.8699999999999</c:v>
                </c:pt>
                <c:pt idx="98">
                  <c:v>1059.8699999999999</c:v>
                </c:pt>
                <c:pt idx="99">
                  <c:v>1059.8699999999999</c:v>
                </c:pt>
                <c:pt idx="100">
                  <c:v>1059.8699999999999</c:v>
                </c:pt>
                <c:pt idx="101">
                  <c:v>1059.8699999999999</c:v>
                </c:pt>
                <c:pt idx="102">
                  <c:v>1059.8699999999999</c:v>
                </c:pt>
                <c:pt idx="103">
                  <c:v>1086.3699999999999</c:v>
                </c:pt>
                <c:pt idx="104">
                  <c:v>1086.3699999999999</c:v>
                </c:pt>
                <c:pt idx="105">
                  <c:v>1086.3699999999999</c:v>
                </c:pt>
                <c:pt idx="106">
                  <c:v>1086.3699999999999</c:v>
                </c:pt>
                <c:pt idx="107">
                  <c:v>1086.3699999999999</c:v>
                </c:pt>
                <c:pt idx="108">
                  <c:v>1086.3699999999999</c:v>
                </c:pt>
                <c:pt idx="109">
                  <c:v>1086.3699999999999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1CA-4A4F-9643-A6ADDBE9B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 sz="675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CA" sz="900">
                <a:latin typeface="Arial"/>
                <a:ea typeface="Arial"/>
                <a:cs typeface="Arial"/>
              </a:rPr>
              <a:t>Advertised minimum patient payment (conditional)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Minimum patient pay</c:v>
          </c:tx>
          <c:invertIfNegative val="1"/>
          <c:cat>
            <c:strRef>
              <c:f>'Savings Offers'!$A$20:$A$25</c:f>
              <c:strCache>
                <c:ptCount val="6"/>
                <c:pt idx="0">
                  <c:v>Zepbound</c:v>
                </c:pt>
                <c:pt idx="1">
                  <c:v>Wegovy / Wegovy HD</c:v>
                </c:pt>
                <c:pt idx="2">
                  <c:v>Wegovy tablets</c:v>
                </c:pt>
                <c:pt idx="3">
                  <c:v>Foundayo</c:v>
                </c:pt>
                <c:pt idx="4">
                  <c:v>Saxenda</c:v>
                </c:pt>
                <c:pt idx="5">
                  <c:v>Victoza</c:v>
                </c:pt>
              </c:strCache>
            </c:strRef>
          </c:cat>
          <c:val>
            <c:numRef>
              <c:f>'Savings Offers'!$B$20:$B$25</c:f>
              <c:numCache>
                <c:formatCode>\$#,##0</c:formatCode>
                <c:ptCount val="6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AF-F647-BB9E-378300ACD3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 sz="675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CA" sz="900">
                <a:latin typeface="Arial"/>
                <a:ea typeface="Arial"/>
                <a:cs typeface="Arial"/>
              </a:rPr>
              <a:t>Public government price concepts (not directly comparable)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Amount</c:v>
          </c:tx>
          <c:invertIfNegative val="1"/>
          <c:cat>
            <c:strRef>
              <c:f>'Government Prices'!$A$16:$A$21</c:f>
            </c:strRef>
          </c:cat>
          <c:val>
            <c:numRef>
              <c:f>'Government Prices'!$B$16:$B$21</c:f>
            </c:numRef>
          </c:val>
          <c:extLst>
            <c:ext xmlns:c16="http://schemas.microsoft.com/office/drawing/2014/chart" uri="{C3380CC4-5D6E-409C-BE32-E72D297353CC}">
              <c16:uniqueId val="{00000000-9E7F-7446-B8FE-98D89F7567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 sz="675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CA" sz="900">
                <a:latin typeface="Arial"/>
                <a:ea typeface="Arial"/>
                <a:cs typeface="Arial"/>
              </a:rPr>
              <a:t>Selected public/research-provided channel metrics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Percent</c:v>
          </c:tx>
          <c:invertIfNegative val="1"/>
          <c:cat>
            <c:strRef>
              <c:f>'Company Statements'!$A$21:$A$24</c:f>
              <c:strCache>
                <c:ptCount val="4"/>
                <c:pt idx="0">
                  <c:v>Novo retained share of list after rebates/fees</c:v>
                </c:pt>
                <c:pt idx="1">
                  <c:v>Zepbound self-pay share- all Rx</c:v>
                </c:pt>
                <c:pt idx="2">
                  <c:v>Zepbound self-pay share - new Rx</c:v>
                </c:pt>
                <c:pt idx="3">
                  <c:v>Lilly realized-price decline excl. prior-estimate changes</c:v>
                </c:pt>
              </c:strCache>
            </c:strRef>
          </c:cat>
          <c:val>
            <c:numRef>
              <c:f>'Company Statements'!$B$21:$B$24</c:f>
              <c:numCache>
                <c:formatCode>0%</c:formatCode>
                <c:ptCount val="4"/>
                <c:pt idx="0">
                  <c:v>0.6</c:v>
                </c:pt>
                <c:pt idx="1">
                  <c:v>0.45</c:v>
                </c:pt>
                <c:pt idx="2">
                  <c:v>0.55000000000000004</c:v>
                </c:pt>
                <c:pt idx="3">
                  <c:v>-0.09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EB-A942-A38E-4EFA4C56E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 sz="675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CA" sz="900">
                <a:latin typeface="Arial"/>
                <a:ea typeface="Arial"/>
                <a:cs typeface="Arial"/>
              </a:rPr>
              <a:t>Captured Zepbound WAC vs NADAC per fill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Calculated WAC/fill</c:v>
          </c:tx>
          <c:invertIfNegative val="1"/>
          <c:cat>
            <c:strRef>
              <c:f>'Bloomberg Capture'!$A$6:$A$17</c:f>
              <c:strCache>
                <c:ptCount val="12"/>
                <c:pt idx="0">
                  <c:v>2.5 mg</c:v>
                </c:pt>
                <c:pt idx="1">
                  <c:v>5 mg</c:v>
                </c:pt>
                <c:pt idx="2">
                  <c:v>7.5 mg</c:v>
                </c:pt>
                <c:pt idx="3">
                  <c:v>10 mg</c:v>
                </c:pt>
                <c:pt idx="4">
                  <c:v>12.5 mg</c:v>
                </c:pt>
                <c:pt idx="5">
                  <c:v>15 mg</c:v>
                </c:pt>
                <c:pt idx="6">
                  <c:v>2.5 mg</c:v>
                </c:pt>
                <c:pt idx="7">
                  <c:v>5 mg</c:v>
                </c:pt>
                <c:pt idx="8">
                  <c:v>7.5 mg</c:v>
                </c:pt>
                <c:pt idx="9">
                  <c:v>10 mg</c:v>
                </c:pt>
                <c:pt idx="10">
                  <c:v>12.5 mg</c:v>
                </c:pt>
                <c:pt idx="11">
                  <c:v>15 mg</c:v>
                </c:pt>
              </c:strCache>
            </c:strRef>
          </c:cat>
          <c:val>
            <c:numRef>
              <c:f>'Bloomberg Capture'!$E$6:$E$17</c:f>
              <c:numCache>
                <c:formatCode>\$#,##0.00</c:formatCode>
                <c:ptCount val="12"/>
                <c:pt idx="0">
                  <c:v>1086.3800000000001</c:v>
                </c:pt>
                <c:pt idx="1">
                  <c:v>1086.3800000000001</c:v>
                </c:pt>
                <c:pt idx="2">
                  <c:v>1086.3800000000001</c:v>
                </c:pt>
                <c:pt idx="3">
                  <c:v>1086.3800000000001</c:v>
                </c:pt>
                <c:pt idx="4">
                  <c:v>1086.3800000000001</c:v>
                </c:pt>
                <c:pt idx="5">
                  <c:v>1086.3800000000001</c:v>
                </c:pt>
                <c:pt idx="6">
                  <c:v>499.00799999999992</c:v>
                </c:pt>
                <c:pt idx="7">
                  <c:v>499.00799999999992</c:v>
                </c:pt>
                <c:pt idx="8">
                  <c:v>499.00799999999992</c:v>
                </c:pt>
                <c:pt idx="9">
                  <c:v>699</c:v>
                </c:pt>
                <c:pt idx="10">
                  <c:v>699</c:v>
                </c:pt>
                <c:pt idx="11">
                  <c:v>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E1-CE42-BAE8-9DCBCD4D96A1}"/>
            </c:ext>
          </c:extLst>
        </c:ser>
        <c:ser>
          <c:idx val="1"/>
          <c:order val="1"/>
          <c:tx>
            <c:v>Calculated NADAC/fill</c:v>
          </c:tx>
          <c:invertIfNegative val="1"/>
          <c:cat>
            <c:strRef>
              <c:f>'Bloomberg Capture'!$A$6:$A$17</c:f>
              <c:strCache>
                <c:ptCount val="12"/>
                <c:pt idx="0">
                  <c:v>2.5 mg</c:v>
                </c:pt>
                <c:pt idx="1">
                  <c:v>5 mg</c:v>
                </c:pt>
                <c:pt idx="2">
                  <c:v>7.5 mg</c:v>
                </c:pt>
                <c:pt idx="3">
                  <c:v>10 mg</c:v>
                </c:pt>
                <c:pt idx="4">
                  <c:v>12.5 mg</c:v>
                </c:pt>
                <c:pt idx="5">
                  <c:v>15 mg</c:v>
                </c:pt>
                <c:pt idx="6">
                  <c:v>2.5 mg</c:v>
                </c:pt>
                <c:pt idx="7">
                  <c:v>5 mg</c:v>
                </c:pt>
                <c:pt idx="8">
                  <c:v>7.5 mg</c:v>
                </c:pt>
                <c:pt idx="9">
                  <c:v>10 mg</c:v>
                </c:pt>
                <c:pt idx="10">
                  <c:v>12.5 mg</c:v>
                </c:pt>
                <c:pt idx="11">
                  <c:v>15 mg</c:v>
                </c:pt>
              </c:strCache>
            </c:strRef>
          </c:cat>
          <c:val>
            <c:numRef>
              <c:f>'Bloomberg Capture'!$G$6:$G$17</c:f>
              <c:numCache>
                <c:formatCode>\$#,##0.00</c:formatCode>
                <c:ptCount val="12"/>
                <c:pt idx="0">
                  <c:v>1051.4000000000001</c:v>
                </c:pt>
                <c:pt idx="1">
                  <c:v>1051.54</c:v>
                </c:pt>
                <c:pt idx="2">
                  <c:v>1051.56</c:v>
                </c:pt>
                <c:pt idx="3">
                  <c:v>1051.54</c:v>
                </c:pt>
                <c:pt idx="4">
                  <c:v>1052.02</c:v>
                </c:pt>
                <c:pt idx="5">
                  <c:v>1052.22</c:v>
                </c:pt>
                <c:pt idx="6">
                  <c:v>482.28</c:v>
                </c:pt>
                <c:pt idx="7">
                  <c:v>482.15999999999997</c:v>
                </c:pt>
                <c:pt idx="8">
                  <c:v>481.67999999999995</c:v>
                </c:pt>
                <c:pt idx="9">
                  <c:v>675.26400000000001</c:v>
                </c:pt>
                <c:pt idx="10">
                  <c:v>678.024</c:v>
                </c:pt>
                <c:pt idx="11">
                  <c:v>672.07199999999989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E1-CE42-BAE8-9DCBCD4D9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 sz="675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lang="en-CA" sz="900">
                <a:latin typeface="Arial"/>
                <a:ea typeface="Arial"/>
                <a:cs typeface="Arial"/>
              </a:rPr>
              <a:t>Observed WAC/list price history (USD per fill)</a:t>
            </a:r>
          </a:p>
        </rich>
      </tx>
      <overlay val="0"/>
    </title>
    <plotArea>
      <layout/>
      <lineChart>
        <grouping val="standard"/>
        <varyColors val="0"/>
        <ser>
          <idx val="0"/>
          <order val="0"/>
          <tx>
            <v>Ozempic</v>
          </tx>
          <spPr>
            <a:ln xmlns:a="http://schemas.openxmlformats.org/drawingml/2006/main" w="19050">
              <a:solidFill>
                <a:srgbClr val="00A6C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'WAC List Price'!$A$30:$A$139</f>
              <strCache>
                <ptCount val="110"/>
                <pt idx="0">
                  <v>2017-12</v>
                </pt>
                <pt idx="1">
                  <v>2018-01</v>
                </pt>
                <pt idx="2">
                  <v>2018-02</v>
                </pt>
                <pt idx="3">
                  <v>2018-03</v>
                </pt>
                <pt idx="4">
                  <v>2018-04</v>
                </pt>
                <pt idx="5">
                  <v>2018-05</v>
                </pt>
                <pt idx="6">
                  <v>2018-06</v>
                </pt>
                <pt idx="7">
                  <v>2018-07</v>
                </pt>
                <pt idx="8">
                  <v>2018-08</v>
                </pt>
                <pt idx="9">
                  <v>2018-09</v>
                </pt>
                <pt idx="10">
                  <v>2018-10</v>
                </pt>
                <pt idx="11">
                  <v>2018-11</v>
                </pt>
                <pt idx="12">
                  <v>2018-12</v>
                </pt>
                <pt idx="13">
                  <v>2019-01</v>
                </pt>
                <pt idx="14">
                  <v>2019-02</v>
                </pt>
                <pt idx="15">
                  <v>2019-03</v>
                </pt>
                <pt idx="16">
                  <v>2019-04</v>
                </pt>
                <pt idx="17">
                  <v>2019-05</v>
                </pt>
                <pt idx="18">
                  <v>2019-06</v>
                </pt>
                <pt idx="19">
                  <v>2019-07</v>
                </pt>
                <pt idx="20">
                  <v>2019-08</v>
                </pt>
                <pt idx="21">
                  <v>2019-09</v>
                </pt>
                <pt idx="22">
                  <v>2019-10</v>
                </pt>
                <pt idx="23">
                  <v>2019-11</v>
                </pt>
                <pt idx="24">
                  <v>2019-12</v>
                </pt>
                <pt idx="25">
                  <v>2020-01</v>
                </pt>
                <pt idx="26">
                  <v>2020-02</v>
                </pt>
                <pt idx="27">
                  <v>2020-03</v>
                </pt>
                <pt idx="28">
                  <v>2020-04</v>
                </pt>
                <pt idx="29">
                  <v>2020-05</v>
                </pt>
                <pt idx="30">
                  <v>2020-06</v>
                </pt>
                <pt idx="31">
                  <v>2020-07</v>
                </pt>
                <pt idx="32">
                  <v>2020-08</v>
                </pt>
                <pt idx="33">
                  <v>2020-09</v>
                </pt>
                <pt idx="34">
                  <v>2020-10</v>
                </pt>
                <pt idx="35">
                  <v>2020-11</v>
                </pt>
                <pt idx="36">
                  <v>2020-12</v>
                </pt>
                <pt idx="37">
                  <v>2021-01</v>
                </pt>
                <pt idx="38">
                  <v>2021-02</v>
                </pt>
                <pt idx="39">
                  <v>2021-03</v>
                </pt>
                <pt idx="40">
                  <v>2021-04</v>
                </pt>
                <pt idx="41">
                  <v>2021-05</v>
                </pt>
                <pt idx="42">
                  <v>2021-06</v>
                </pt>
                <pt idx="43">
                  <v>2021-07</v>
                </pt>
                <pt idx="44">
                  <v>2021-08</v>
                </pt>
                <pt idx="45">
                  <v>2021-09</v>
                </pt>
                <pt idx="46">
                  <v>2021-10</v>
                </pt>
                <pt idx="47">
                  <v>2021-11</v>
                </pt>
                <pt idx="48">
                  <v>2021-12</v>
                </pt>
                <pt idx="49">
                  <v>2022-01</v>
                </pt>
                <pt idx="50">
                  <v>2022-02</v>
                </pt>
                <pt idx="51">
                  <v>2022-03</v>
                </pt>
                <pt idx="52">
                  <v>2022-04</v>
                </pt>
                <pt idx="53">
                  <v>2022-05</v>
                </pt>
                <pt idx="54">
                  <v>2022-06</v>
                </pt>
                <pt idx="55">
                  <v>2022-07</v>
                </pt>
                <pt idx="56">
                  <v>2022-08</v>
                </pt>
                <pt idx="57">
                  <v>2022-09</v>
                </pt>
                <pt idx="58">
                  <v>2022-10</v>
                </pt>
                <pt idx="59">
                  <v>2022-11</v>
                </pt>
                <pt idx="60">
                  <v>2022-12</v>
                </pt>
                <pt idx="61">
                  <v>2023-01</v>
                </pt>
                <pt idx="62">
                  <v>2023-02</v>
                </pt>
                <pt idx="63">
                  <v>2023-03</v>
                </pt>
                <pt idx="64">
                  <v>2023-04</v>
                </pt>
                <pt idx="65">
                  <v>2023-05</v>
                </pt>
                <pt idx="66">
                  <v>2023-06</v>
                </pt>
                <pt idx="67">
                  <v>2023-07</v>
                </pt>
                <pt idx="68">
                  <v>2023-08</v>
                </pt>
                <pt idx="69">
                  <v>2023-09</v>
                </pt>
                <pt idx="70">
                  <v>2023-10</v>
                </pt>
                <pt idx="71">
                  <v>2023-11</v>
                </pt>
                <pt idx="72">
                  <v>2023-12</v>
                </pt>
                <pt idx="73">
                  <v>2024-01</v>
                </pt>
                <pt idx="74">
                  <v>2024-02</v>
                </pt>
                <pt idx="75">
                  <v>2024-03</v>
                </pt>
                <pt idx="76">
                  <v>2024-04</v>
                </pt>
                <pt idx="77">
                  <v>2024-05</v>
                </pt>
                <pt idx="78">
                  <v>2024-06</v>
                </pt>
                <pt idx="79">
                  <v>2024-07</v>
                </pt>
                <pt idx="80">
                  <v>2024-08</v>
                </pt>
                <pt idx="81">
                  <v>2024-09</v>
                </pt>
                <pt idx="82">
                  <v>2024-10</v>
                </pt>
                <pt idx="83">
                  <v>2024-11</v>
                </pt>
                <pt idx="84">
                  <v>2024-12</v>
                </pt>
                <pt idx="85">
                  <v>2025-01</v>
                </pt>
                <pt idx="86">
                  <v>2025-02</v>
                </pt>
                <pt idx="87">
                  <v>2025-03</v>
                </pt>
                <pt idx="88">
                  <v>2025-04</v>
                </pt>
                <pt idx="89">
                  <v>2025-05</v>
                </pt>
                <pt idx="90">
                  <v>2025-06</v>
                </pt>
                <pt idx="91">
                  <v>2025-07</v>
                </pt>
                <pt idx="92">
                  <v>2025-08</v>
                </pt>
                <pt idx="93">
                  <v>2025-09</v>
                </pt>
                <pt idx="94">
                  <v>2025-10</v>
                </pt>
                <pt idx="95">
                  <v>2025-11</v>
                </pt>
                <pt idx="96">
                  <v>2025-12</v>
                </pt>
                <pt idx="97">
                  <v>2026-01</v>
                </pt>
                <pt idx="98">
                  <v>2026-02</v>
                </pt>
                <pt idx="99">
                  <v>2026-03</v>
                </pt>
                <pt idx="100">
                  <v>2026-04</v>
                </pt>
                <pt idx="101">
                  <v>2026-05</v>
                </pt>
                <pt idx="102">
                  <v>2026-06</v>
                </pt>
                <pt idx="103">
                  <v>2026-07</v>
                </pt>
                <pt idx="104">
                  <v>2026-08</v>
                </pt>
                <pt idx="105">
                  <v>2026-09</v>
                </pt>
                <pt idx="106">
                  <v>2026-10</v>
                </pt>
                <pt idx="107">
                  <v>2026-11</v>
                </pt>
                <pt idx="108">
                  <v>2026-12</v>
                </pt>
                <pt idx="109">
                  <v>2027-01</v>
                </pt>
              </strCache>
            </strRef>
          </cat>
          <val>
            <numRef>
              <f>'WAC List Price'!$B$30:$B$139</f>
              <numCache>
                <formatCode>\$#,##0.00</formatCode>
                <ptCount val="110"/>
                <pt idx="0">
                  <v>676</v>
                </pt>
                <pt idx="1">
                  <v>676</v>
                </pt>
                <pt idx="2">
                  <v>676</v>
                </pt>
                <pt idx="3">
                  <v>676</v>
                </pt>
                <pt idx="4">
                  <v>676</v>
                </pt>
                <pt idx="5">
                  <v>676</v>
                </pt>
                <pt idx="6">
                  <v>676</v>
                </pt>
                <pt idx="7">
                  <v>676</v>
                </pt>
                <pt idx="8">
                  <v>676</v>
                </pt>
                <pt idx="9">
                  <v>676</v>
                </pt>
                <pt idx="10">
                  <v>676</v>
                </pt>
                <pt idx="11">
                  <v>676</v>
                </pt>
                <pt idx="12">
                  <v>676</v>
                </pt>
                <pt idx="13">
                  <v>676</v>
                </pt>
                <pt idx="14">
                  <v>676</v>
                </pt>
                <pt idx="15">
                  <v>676</v>
                </pt>
                <pt idx="16">
                  <v>676</v>
                </pt>
                <pt idx="17">
                  <v>676</v>
                </pt>
                <pt idx="18">
                  <v>676</v>
                </pt>
                <pt idx="19">
                  <v>676</v>
                </pt>
                <pt idx="20">
                  <v>676</v>
                </pt>
                <pt idx="21">
                  <v>676</v>
                </pt>
                <pt idx="22">
                  <v>676</v>
                </pt>
                <pt idx="23">
                  <v>676</v>
                </pt>
                <pt idx="24">
                  <v>676</v>
                </pt>
                <pt idx="25">
                  <v>676</v>
                </pt>
                <pt idx="26">
                  <v>676</v>
                </pt>
                <pt idx="27">
                  <v>676</v>
                </pt>
                <pt idx="28">
                  <v>676</v>
                </pt>
                <pt idx="29">
                  <v>676</v>
                </pt>
                <pt idx="30">
                  <v>676</v>
                </pt>
                <pt idx="31">
                  <v>676</v>
                </pt>
                <pt idx="32">
                  <v>676</v>
                </pt>
                <pt idx="33">
                  <v>676</v>
                </pt>
                <pt idx="34">
                  <v>676</v>
                </pt>
                <pt idx="35">
                  <v>676</v>
                </pt>
                <pt idx="36">
                  <v>676</v>
                </pt>
                <pt idx="37">
                  <v>676</v>
                </pt>
                <pt idx="38">
                  <v>676</v>
                </pt>
                <pt idx="39">
                  <v>676</v>
                </pt>
                <pt idx="40">
                  <v>676</v>
                </pt>
                <pt idx="41">
                  <v>676</v>
                </pt>
                <pt idx="42">
                  <v>676</v>
                </pt>
                <pt idx="43">
                  <v>676</v>
                </pt>
                <pt idx="44">
                  <v>676</v>
                </pt>
                <pt idx="45">
                  <v>676</v>
                </pt>
                <pt idx="46">
                  <v>676</v>
                </pt>
                <pt idx="47">
                  <v>676</v>
                </pt>
                <pt idx="48">
                  <v>676</v>
                </pt>
                <pt idx="49">
                  <v>676</v>
                </pt>
                <pt idx="50">
                  <v>676</v>
                </pt>
                <pt idx="51">
                  <v>676</v>
                </pt>
                <pt idx="52">
                  <v>676</v>
                </pt>
                <pt idx="53">
                  <v>676</v>
                </pt>
                <pt idx="54">
                  <v>676</v>
                </pt>
                <pt idx="55">
                  <v>676</v>
                </pt>
                <pt idx="56">
                  <v>676</v>
                </pt>
                <pt idx="57">
                  <v>676</v>
                </pt>
                <pt idx="58">
                  <v>676</v>
                </pt>
                <pt idx="59">
                  <v>676</v>
                </pt>
                <pt idx="60">
                  <v>676</v>
                </pt>
                <pt idx="61">
                  <v>676</v>
                </pt>
                <pt idx="62">
                  <v>676</v>
                </pt>
                <pt idx="63">
                  <v>676</v>
                </pt>
                <pt idx="64">
                  <v>676</v>
                </pt>
                <pt idx="65">
                  <v>676</v>
                </pt>
                <pt idx="66">
                  <v>676</v>
                </pt>
                <pt idx="67">
                  <v>676</v>
                </pt>
                <pt idx="68">
                  <v>676</v>
                </pt>
                <pt idx="69">
                  <v>676</v>
                </pt>
                <pt idx="70">
                  <v>676</v>
                </pt>
                <pt idx="71">
                  <v>676</v>
                </pt>
                <pt idx="72">
                  <v>676</v>
                </pt>
                <pt idx="73">
                  <v>676</v>
                </pt>
                <pt idx="74">
                  <v>676</v>
                </pt>
                <pt idx="75">
                  <v>676</v>
                </pt>
                <pt idx="76">
                  <v>676</v>
                </pt>
                <pt idx="77">
                  <v>935.77</v>
                </pt>
                <pt idx="78">
                  <v>935.77</v>
                </pt>
                <pt idx="79">
                  <v>935.77</v>
                </pt>
                <pt idx="80">
                  <v>935.77</v>
                </pt>
                <pt idx="81">
                  <v>935.77</v>
                </pt>
                <pt idx="82">
                  <v>935.77</v>
                </pt>
                <pt idx="83">
                  <v>935.77</v>
                </pt>
                <pt idx="84">
                  <v>935.77</v>
                </pt>
                <pt idx="85">
                  <v>935.77</v>
                </pt>
                <pt idx="86">
                  <v>935.77</v>
                </pt>
                <pt idx="87">
                  <v>935.77</v>
                </pt>
                <pt idx="88">
                  <v>935.77</v>
                </pt>
                <pt idx="89">
                  <v>935.77</v>
                </pt>
                <pt idx="90">
                  <v>935.77</v>
                </pt>
                <pt idx="91">
                  <v>935.77</v>
                </pt>
                <pt idx="92">
                  <v>935.77</v>
                </pt>
                <pt idx="93">
                  <v>935.77</v>
                </pt>
                <pt idx="94">
                  <v>935.77</v>
                </pt>
                <pt idx="95">
                  <v>935.77</v>
                </pt>
                <pt idx="96">
                  <v>997.58</v>
                </pt>
                <pt idx="97">
                  <v>997.58</v>
                </pt>
                <pt idx="98">
                  <v>997.58</v>
                </pt>
                <pt idx="99">
                  <v>997.58</v>
                </pt>
                <pt idx="100">
                  <v>997.58</v>
                </pt>
                <pt idx="101">
                  <v>997.58</v>
                </pt>
                <pt idx="102">
                  <v>997.58</v>
                </pt>
                <pt idx="103">
                  <v>997.58</v>
                </pt>
                <pt idx="104">
                  <v>997.58</v>
                </pt>
                <pt idx="105">
                  <v>1027.51</v>
                </pt>
                <pt idx="106">
                  <v>1027.51</v>
                </pt>
                <pt idx="107">
                  <v>1027.51</v>
                </pt>
                <pt idx="108">
                  <v>1027.51</v>
                </pt>
                <pt idx="109">
                  <v>675</v>
                </pt>
              </numCache>
            </numRef>
          </val>
          <smooth val="0"/>
        </ser>
        <ser>
          <idx val="1"/>
          <order val="1"/>
          <tx>
            <v>Wegovy</v>
          </tx>
          <spPr>
            <a:ln xmlns:a="http://schemas.openxmlformats.org/drawingml/2006/main" w="19050">
              <a:solidFill>
                <a:srgbClr val="F59E0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'WAC List Price'!$A$30:$A$139</f>
              <strCache>
                <ptCount val="110"/>
                <pt idx="0">
                  <v>2017-12</v>
                </pt>
                <pt idx="1">
                  <v>2018-01</v>
                </pt>
                <pt idx="2">
                  <v>2018-02</v>
                </pt>
                <pt idx="3">
                  <v>2018-03</v>
                </pt>
                <pt idx="4">
                  <v>2018-04</v>
                </pt>
                <pt idx="5">
                  <v>2018-05</v>
                </pt>
                <pt idx="6">
                  <v>2018-06</v>
                </pt>
                <pt idx="7">
                  <v>2018-07</v>
                </pt>
                <pt idx="8">
                  <v>2018-08</v>
                </pt>
                <pt idx="9">
                  <v>2018-09</v>
                </pt>
                <pt idx="10">
                  <v>2018-10</v>
                </pt>
                <pt idx="11">
                  <v>2018-11</v>
                </pt>
                <pt idx="12">
                  <v>2018-12</v>
                </pt>
                <pt idx="13">
                  <v>2019-01</v>
                </pt>
                <pt idx="14">
                  <v>2019-02</v>
                </pt>
                <pt idx="15">
                  <v>2019-03</v>
                </pt>
                <pt idx="16">
                  <v>2019-04</v>
                </pt>
                <pt idx="17">
                  <v>2019-05</v>
                </pt>
                <pt idx="18">
                  <v>2019-06</v>
                </pt>
                <pt idx="19">
                  <v>2019-07</v>
                </pt>
                <pt idx="20">
                  <v>2019-08</v>
                </pt>
                <pt idx="21">
                  <v>2019-09</v>
                </pt>
                <pt idx="22">
                  <v>2019-10</v>
                </pt>
                <pt idx="23">
                  <v>2019-11</v>
                </pt>
                <pt idx="24">
                  <v>2019-12</v>
                </pt>
                <pt idx="25">
                  <v>2020-01</v>
                </pt>
                <pt idx="26">
                  <v>2020-02</v>
                </pt>
                <pt idx="27">
                  <v>2020-03</v>
                </pt>
                <pt idx="28">
                  <v>2020-04</v>
                </pt>
                <pt idx="29">
                  <v>2020-05</v>
                </pt>
                <pt idx="30">
                  <v>2020-06</v>
                </pt>
                <pt idx="31">
                  <v>2020-07</v>
                </pt>
                <pt idx="32">
                  <v>2020-08</v>
                </pt>
                <pt idx="33">
                  <v>2020-09</v>
                </pt>
                <pt idx="34">
                  <v>2020-10</v>
                </pt>
                <pt idx="35">
                  <v>2020-11</v>
                </pt>
                <pt idx="36">
                  <v>2020-12</v>
                </pt>
                <pt idx="37">
                  <v>2021-01</v>
                </pt>
                <pt idx="38">
                  <v>2021-02</v>
                </pt>
                <pt idx="39">
                  <v>2021-03</v>
                </pt>
                <pt idx="40">
                  <v>2021-04</v>
                </pt>
                <pt idx="41">
                  <v>2021-05</v>
                </pt>
                <pt idx="42">
                  <v>2021-06</v>
                </pt>
                <pt idx="43">
                  <v>2021-07</v>
                </pt>
                <pt idx="44">
                  <v>2021-08</v>
                </pt>
                <pt idx="45">
                  <v>2021-09</v>
                </pt>
                <pt idx="46">
                  <v>2021-10</v>
                </pt>
                <pt idx="47">
                  <v>2021-11</v>
                </pt>
                <pt idx="48">
                  <v>2021-12</v>
                </pt>
                <pt idx="49">
                  <v>2022-01</v>
                </pt>
                <pt idx="50">
                  <v>2022-02</v>
                </pt>
                <pt idx="51">
                  <v>2022-03</v>
                </pt>
                <pt idx="52">
                  <v>2022-04</v>
                </pt>
                <pt idx="53">
                  <v>2022-05</v>
                </pt>
                <pt idx="54">
                  <v>2022-06</v>
                </pt>
                <pt idx="55">
                  <v>2022-07</v>
                </pt>
                <pt idx="56">
                  <v>2022-08</v>
                </pt>
                <pt idx="57">
                  <v>2022-09</v>
                </pt>
                <pt idx="58">
                  <v>2022-10</v>
                </pt>
                <pt idx="59">
                  <v>2022-11</v>
                </pt>
                <pt idx="60">
                  <v>2022-12</v>
                </pt>
                <pt idx="61">
                  <v>2023-01</v>
                </pt>
                <pt idx="62">
                  <v>2023-02</v>
                </pt>
                <pt idx="63">
                  <v>2023-03</v>
                </pt>
                <pt idx="64">
                  <v>2023-04</v>
                </pt>
                <pt idx="65">
                  <v>2023-05</v>
                </pt>
                <pt idx="66">
                  <v>2023-06</v>
                </pt>
                <pt idx="67">
                  <v>2023-07</v>
                </pt>
                <pt idx="68">
                  <v>2023-08</v>
                </pt>
                <pt idx="69">
                  <v>2023-09</v>
                </pt>
                <pt idx="70">
                  <v>2023-10</v>
                </pt>
                <pt idx="71">
                  <v>2023-11</v>
                </pt>
                <pt idx="72">
                  <v>2023-12</v>
                </pt>
                <pt idx="73">
                  <v>2024-01</v>
                </pt>
                <pt idx="74">
                  <v>2024-02</v>
                </pt>
                <pt idx="75">
                  <v>2024-03</v>
                </pt>
                <pt idx="76">
                  <v>2024-04</v>
                </pt>
                <pt idx="77">
                  <v>2024-05</v>
                </pt>
                <pt idx="78">
                  <v>2024-06</v>
                </pt>
                <pt idx="79">
                  <v>2024-07</v>
                </pt>
                <pt idx="80">
                  <v>2024-08</v>
                </pt>
                <pt idx="81">
                  <v>2024-09</v>
                </pt>
                <pt idx="82">
                  <v>2024-10</v>
                </pt>
                <pt idx="83">
                  <v>2024-11</v>
                </pt>
                <pt idx="84">
                  <v>2024-12</v>
                </pt>
                <pt idx="85">
                  <v>2025-01</v>
                </pt>
                <pt idx="86">
                  <v>2025-02</v>
                </pt>
                <pt idx="87">
                  <v>2025-03</v>
                </pt>
                <pt idx="88">
                  <v>2025-04</v>
                </pt>
                <pt idx="89">
                  <v>2025-05</v>
                </pt>
                <pt idx="90">
                  <v>2025-06</v>
                </pt>
                <pt idx="91">
                  <v>2025-07</v>
                </pt>
                <pt idx="92">
                  <v>2025-08</v>
                </pt>
                <pt idx="93">
                  <v>2025-09</v>
                </pt>
                <pt idx="94">
                  <v>2025-10</v>
                </pt>
                <pt idx="95">
                  <v>2025-11</v>
                </pt>
                <pt idx="96">
                  <v>2025-12</v>
                </pt>
                <pt idx="97">
                  <v>2026-01</v>
                </pt>
                <pt idx="98">
                  <v>2026-02</v>
                </pt>
                <pt idx="99">
                  <v>2026-03</v>
                </pt>
                <pt idx="100">
                  <v>2026-04</v>
                </pt>
                <pt idx="101">
                  <v>2026-05</v>
                </pt>
                <pt idx="102">
                  <v>2026-06</v>
                </pt>
                <pt idx="103">
                  <v>2026-07</v>
                </pt>
                <pt idx="104">
                  <v>2026-08</v>
                </pt>
                <pt idx="105">
                  <v>2026-09</v>
                </pt>
                <pt idx="106">
                  <v>2026-10</v>
                </pt>
                <pt idx="107">
                  <v>2026-11</v>
                </pt>
                <pt idx="108">
                  <v>2026-12</v>
                </pt>
                <pt idx="109">
                  <v>2027-01</v>
                </pt>
              </strCache>
            </strRef>
          </cat>
          <val>
            <numRef>
              <f>'WAC List Price'!$C$30:$C$139</f>
              <numCache>
                <formatCode>\$#,##0.00</formatCode>
                <ptCount val="110"/>
                <pt idx="42">
                  <v>1349.02</v>
                </pt>
                <pt idx="43">
                  <v>1349.02</v>
                </pt>
                <pt idx="44">
                  <v>1349.02</v>
                </pt>
                <pt idx="45">
                  <v>1349.02</v>
                </pt>
                <pt idx="46">
                  <v>1349.02</v>
                </pt>
                <pt idx="47">
                  <v>1349.02</v>
                </pt>
                <pt idx="48">
                  <v>1349.02</v>
                </pt>
                <pt idx="49">
                  <v>1349.02</v>
                </pt>
                <pt idx="50">
                  <v>1349.02</v>
                </pt>
                <pt idx="51">
                  <v>1349.02</v>
                </pt>
                <pt idx="52">
                  <v>1349.02</v>
                </pt>
                <pt idx="53">
                  <v>1349.02</v>
                </pt>
                <pt idx="54">
                  <v>1349.02</v>
                </pt>
                <pt idx="55">
                  <v>1349.02</v>
                </pt>
                <pt idx="56">
                  <v>1349.02</v>
                </pt>
                <pt idx="57">
                  <v>1349.02</v>
                </pt>
                <pt idx="58">
                  <v>1349.02</v>
                </pt>
                <pt idx="59">
                  <v>1349.02</v>
                </pt>
                <pt idx="60">
                  <v>1349.02</v>
                </pt>
                <pt idx="61">
                  <v>1349.02</v>
                </pt>
                <pt idx="62">
                  <v>1349.02</v>
                </pt>
                <pt idx="63">
                  <v>1349.02</v>
                </pt>
                <pt idx="64">
                  <v>1349.02</v>
                </pt>
                <pt idx="65">
                  <v>1349.02</v>
                </pt>
                <pt idx="66">
                  <v>1349.02</v>
                </pt>
                <pt idx="67">
                  <v>1349.02</v>
                </pt>
                <pt idx="68">
                  <v>1349.02</v>
                </pt>
                <pt idx="69">
                  <v>1349.02</v>
                </pt>
                <pt idx="70">
                  <v>1349.02</v>
                </pt>
                <pt idx="71">
                  <v>1349.02</v>
                </pt>
                <pt idx="72">
                  <v>1349.02</v>
                </pt>
                <pt idx="73">
                  <v>1349.02</v>
                </pt>
                <pt idx="74">
                  <v>1349.02</v>
                </pt>
                <pt idx="75">
                  <v>1349.02</v>
                </pt>
                <pt idx="76">
                  <v>1349.02</v>
                </pt>
                <pt idx="77">
                  <v>1349.02</v>
                </pt>
                <pt idx="78">
                  <v>1349.02</v>
                </pt>
                <pt idx="79">
                  <v>1349.02</v>
                </pt>
                <pt idx="80">
                  <v>1349.02</v>
                </pt>
                <pt idx="81">
                  <v>1349.02</v>
                </pt>
                <pt idx="82">
                  <v>1349.02</v>
                </pt>
                <pt idx="83">
                  <v>1349.02</v>
                </pt>
                <pt idx="84">
                  <v>1349.02</v>
                </pt>
                <pt idx="85">
                  <v>1349.02</v>
                </pt>
                <pt idx="86">
                  <v>1349.02</v>
                </pt>
                <pt idx="87">
                  <v>1349.02</v>
                </pt>
                <pt idx="88">
                  <v>1349.02</v>
                </pt>
                <pt idx="89">
                  <v>1349.02</v>
                </pt>
                <pt idx="90">
                  <v>1349.02</v>
                </pt>
                <pt idx="91">
                  <v>1349.02</v>
                </pt>
                <pt idx="92">
                  <v>1349.02</v>
                </pt>
                <pt idx="93">
                  <v>1349.02</v>
                </pt>
                <pt idx="94">
                  <v>1349.02</v>
                </pt>
                <pt idx="95">
                  <v>1349.02</v>
                </pt>
                <pt idx="96">
                  <v>1349.02</v>
                </pt>
                <pt idx="97">
                  <v>1349.02</v>
                </pt>
                <pt idx="98">
                  <v>1349.02</v>
                </pt>
                <pt idx="99">
                  <v>1349.02</v>
                </pt>
                <pt idx="100">
                  <v>1349.02</v>
                </pt>
                <pt idx="101">
                  <v>1349.02</v>
                </pt>
                <pt idx="102">
                  <v>1349.02</v>
                </pt>
                <pt idx="103">
                  <v>1349.02</v>
                </pt>
                <pt idx="104">
                  <v>1349.02</v>
                </pt>
                <pt idx="105">
                  <v>1349.02</v>
                </pt>
                <pt idx="106">
                  <v>1349.02</v>
                </pt>
                <pt idx="107">
                  <v>1349.02</v>
                </pt>
                <pt idx="108">
                  <v>1349.02</v>
                </pt>
                <pt idx="109">
                  <v>675</v>
                </pt>
              </numCache>
            </numRef>
          </val>
          <smooth val="0"/>
        </ser>
        <ser>
          <idx val="2"/>
          <order val="2"/>
          <tx>
            <v>Mounjaro</v>
          </tx>
          <spPr>
            <a:ln xmlns:a="http://schemas.openxmlformats.org/drawingml/2006/main" w="19050">
              <a:solidFill>
                <a:srgbClr val="0F76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'WAC List Price'!$A$30:$A$139</f>
              <strCache>
                <ptCount val="110"/>
                <pt idx="0">
                  <v>2017-12</v>
                </pt>
                <pt idx="1">
                  <v>2018-01</v>
                </pt>
                <pt idx="2">
                  <v>2018-02</v>
                </pt>
                <pt idx="3">
                  <v>2018-03</v>
                </pt>
                <pt idx="4">
                  <v>2018-04</v>
                </pt>
                <pt idx="5">
                  <v>2018-05</v>
                </pt>
                <pt idx="6">
                  <v>2018-06</v>
                </pt>
                <pt idx="7">
                  <v>2018-07</v>
                </pt>
                <pt idx="8">
                  <v>2018-08</v>
                </pt>
                <pt idx="9">
                  <v>2018-09</v>
                </pt>
                <pt idx="10">
                  <v>2018-10</v>
                </pt>
                <pt idx="11">
                  <v>2018-11</v>
                </pt>
                <pt idx="12">
                  <v>2018-12</v>
                </pt>
                <pt idx="13">
                  <v>2019-01</v>
                </pt>
                <pt idx="14">
                  <v>2019-02</v>
                </pt>
                <pt idx="15">
                  <v>2019-03</v>
                </pt>
                <pt idx="16">
                  <v>2019-04</v>
                </pt>
                <pt idx="17">
                  <v>2019-05</v>
                </pt>
                <pt idx="18">
                  <v>2019-06</v>
                </pt>
                <pt idx="19">
                  <v>2019-07</v>
                </pt>
                <pt idx="20">
                  <v>2019-08</v>
                </pt>
                <pt idx="21">
                  <v>2019-09</v>
                </pt>
                <pt idx="22">
                  <v>2019-10</v>
                </pt>
                <pt idx="23">
                  <v>2019-11</v>
                </pt>
                <pt idx="24">
                  <v>2019-12</v>
                </pt>
                <pt idx="25">
                  <v>2020-01</v>
                </pt>
                <pt idx="26">
                  <v>2020-02</v>
                </pt>
                <pt idx="27">
                  <v>2020-03</v>
                </pt>
                <pt idx="28">
                  <v>2020-04</v>
                </pt>
                <pt idx="29">
                  <v>2020-05</v>
                </pt>
                <pt idx="30">
                  <v>2020-06</v>
                </pt>
                <pt idx="31">
                  <v>2020-07</v>
                </pt>
                <pt idx="32">
                  <v>2020-08</v>
                </pt>
                <pt idx="33">
                  <v>2020-09</v>
                </pt>
                <pt idx="34">
                  <v>2020-10</v>
                </pt>
                <pt idx="35">
                  <v>2020-11</v>
                </pt>
                <pt idx="36">
                  <v>2020-12</v>
                </pt>
                <pt idx="37">
                  <v>2021-01</v>
                </pt>
                <pt idx="38">
                  <v>2021-02</v>
                </pt>
                <pt idx="39">
                  <v>2021-03</v>
                </pt>
                <pt idx="40">
                  <v>2021-04</v>
                </pt>
                <pt idx="41">
                  <v>2021-05</v>
                </pt>
                <pt idx="42">
                  <v>2021-06</v>
                </pt>
                <pt idx="43">
                  <v>2021-07</v>
                </pt>
                <pt idx="44">
                  <v>2021-08</v>
                </pt>
                <pt idx="45">
                  <v>2021-09</v>
                </pt>
                <pt idx="46">
                  <v>2021-10</v>
                </pt>
                <pt idx="47">
                  <v>2021-11</v>
                </pt>
                <pt idx="48">
                  <v>2021-12</v>
                </pt>
                <pt idx="49">
                  <v>2022-01</v>
                </pt>
                <pt idx="50">
                  <v>2022-02</v>
                </pt>
                <pt idx="51">
                  <v>2022-03</v>
                </pt>
                <pt idx="52">
                  <v>2022-04</v>
                </pt>
                <pt idx="53">
                  <v>2022-05</v>
                </pt>
                <pt idx="54">
                  <v>2022-06</v>
                </pt>
                <pt idx="55">
                  <v>2022-07</v>
                </pt>
                <pt idx="56">
                  <v>2022-08</v>
                </pt>
                <pt idx="57">
                  <v>2022-09</v>
                </pt>
                <pt idx="58">
                  <v>2022-10</v>
                </pt>
                <pt idx="59">
                  <v>2022-11</v>
                </pt>
                <pt idx="60">
                  <v>2022-12</v>
                </pt>
                <pt idx="61">
                  <v>2023-01</v>
                </pt>
                <pt idx="62">
                  <v>2023-02</v>
                </pt>
                <pt idx="63">
                  <v>2023-03</v>
                </pt>
                <pt idx="64">
                  <v>2023-04</v>
                </pt>
                <pt idx="65">
                  <v>2023-05</v>
                </pt>
                <pt idx="66">
                  <v>2023-06</v>
                </pt>
                <pt idx="67">
                  <v>2023-07</v>
                </pt>
                <pt idx="68">
                  <v>2023-08</v>
                </pt>
                <pt idx="69">
                  <v>2023-09</v>
                </pt>
                <pt idx="70">
                  <v>2023-10</v>
                </pt>
                <pt idx="71">
                  <v>2023-11</v>
                </pt>
                <pt idx="72">
                  <v>2023-12</v>
                </pt>
                <pt idx="73">
                  <v>2024-01</v>
                </pt>
                <pt idx="74">
                  <v>2024-02</v>
                </pt>
                <pt idx="75">
                  <v>2024-03</v>
                </pt>
                <pt idx="76">
                  <v>2024-04</v>
                </pt>
                <pt idx="77">
                  <v>2024-05</v>
                </pt>
                <pt idx="78">
                  <v>2024-06</v>
                </pt>
                <pt idx="79">
                  <v>2024-07</v>
                </pt>
                <pt idx="80">
                  <v>2024-08</v>
                </pt>
                <pt idx="81">
                  <v>2024-09</v>
                </pt>
                <pt idx="82">
                  <v>2024-10</v>
                </pt>
                <pt idx="83">
                  <v>2024-11</v>
                </pt>
                <pt idx="84">
                  <v>2024-12</v>
                </pt>
                <pt idx="85">
                  <v>2025-01</v>
                </pt>
                <pt idx="86">
                  <v>2025-02</v>
                </pt>
                <pt idx="87">
                  <v>2025-03</v>
                </pt>
                <pt idx="88">
                  <v>2025-04</v>
                </pt>
                <pt idx="89">
                  <v>2025-05</v>
                </pt>
                <pt idx="90">
                  <v>2025-06</v>
                </pt>
                <pt idx="91">
                  <v>2025-07</v>
                </pt>
                <pt idx="92">
                  <v>2025-08</v>
                </pt>
                <pt idx="93">
                  <v>2025-09</v>
                </pt>
                <pt idx="94">
                  <v>2025-10</v>
                </pt>
                <pt idx="95">
                  <v>2025-11</v>
                </pt>
                <pt idx="96">
                  <v>2025-12</v>
                </pt>
                <pt idx="97">
                  <v>2026-01</v>
                </pt>
                <pt idx="98">
                  <v>2026-02</v>
                </pt>
                <pt idx="99">
                  <v>2026-03</v>
                </pt>
                <pt idx="100">
                  <v>2026-04</v>
                </pt>
                <pt idx="101">
                  <v>2026-05</v>
                </pt>
                <pt idx="102">
                  <v>2026-06</v>
                </pt>
                <pt idx="103">
                  <v>2026-07</v>
                </pt>
                <pt idx="104">
                  <v>2026-08</v>
                </pt>
                <pt idx="105">
                  <v>2026-09</v>
                </pt>
                <pt idx="106">
                  <v>2026-10</v>
                </pt>
                <pt idx="107">
                  <v>2026-11</v>
                </pt>
                <pt idx="108">
                  <v>2026-12</v>
                </pt>
                <pt idx="109">
                  <v>2027-01</v>
                </pt>
              </strCache>
            </strRef>
          </cat>
          <val>
            <numRef>
              <f>'WAC List Price'!$D$30:$D$139</f>
              <numCache>
                <formatCode>\$#,##0.00</formatCode>
                <ptCount val="110"/>
                <pt idx="53">
                  <v>974.33</v>
                </pt>
                <pt idx="54">
                  <v>974.33</v>
                </pt>
                <pt idx="55">
                  <v>974.33</v>
                </pt>
                <pt idx="56">
                  <v>974.33</v>
                </pt>
                <pt idx="57">
                  <v>974.33</v>
                </pt>
                <pt idx="58">
                  <v>974.33</v>
                </pt>
                <pt idx="59">
                  <v>974.33</v>
                </pt>
                <pt idx="60">
                  <v>974.33</v>
                </pt>
                <pt idx="61">
                  <v>974.33</v>
                </pt>
                <pt idx="62">
                  <v>974.33</v>
                </pt>
                <pt idx="63">
                  <v>974.33</v>
                </pt>
                <pt idx="64">
                  <v>974.33</v>
                </pt>
                <pt idx="65">
                  <v>974.33</v>
                </pt>
                <pt idx="66">
                  <v>974.33</v>
                </pt>
                <pt idx="67">
                  <v>974.33</v>
                </pt>
                <pt idx="68">
                  <v>974.33</v>
                </pt>
                <pt idx="69">
                  <v>974.33</v>
                </pt>
                <pt idx="70">
                  <v>974.33</v>
                </pt>
                <pt idx="71">
                  <v>974.33</v>
                </pt>
                <pt idx="72">
                  <v>974.33</v>
                </pt>
                <pt idx="73">
                  <v>974.33</v>
                </pt>
                <pt idx="74">
                  <v>974.33</v>
                </pt>
                <pt idx="75">
                  <v>974.33</v>
                </pt>
                <pt idx="76">
                  <v>974.33</v>
                </pt>
                <pt idx="77">
                  <v>1069.08</v>
                </pt>
                <pt idx="78">
                  <v>1069.08</v>
                </pt>
                <pt idx="79">
                  <v>1069.08</v>
                </pt>
                <pt idx="80">
                  <v>1069.08</v>
                </pt>
                <pt idx="81">
                  <v>1069.08</v>
                </pt>
                <pt idx="82">
                  <v>1069.08</v>
                </pt>
                <pt idx="83">
                  <v>1069.08</v>
                </pt>
                <pt idx="84">
                  <v>1069.08</v>
                </pt>
                <pt idx="85">
                  <v>1069.08</v>
                </pt>
                <pt idx="86">
                  <v>1069.08</v>
                </pt>
                <pt idx="87">
                  <v>1069.08</v>
                </pt>
                <pt idx="88">
                  <v>1069.08</v>
                </pt>
                <pt idx="89">
                  <v>1069.08</v>
                </pt>
                <pt idx="90">
                  <v>1069.08</v>
                </pt>
                <pt idx="91">
                  <v>1069.08</v>
                </pt>
                <pt idx="92">
                  <v>1069.08</v>
                </pt>
                <pt idx="93">
                  <v>1069.08</v>
                </pt>
                <pt idx="94">
                  <v>1069.08</v>
                </pt>
                <pt idx="95">
                  <v>1069.08</v>
                </pt>
                <pt idx="96">
                  <v>1069.08</v>
                </pt>
                <pt idx="97">
                  <v>1069.08</v>
                </pt>
                <pt idx="98">
                  <v>1069.08</v>
                </pt>
                <pt idx="99">
                  <v>1069.08</v>
                </pt>
                <pt idx="100">
                  <v>1069.08</v>
                </pt>
                <pt idx="101">
                  <v>1069.08</v>
                </pt>
                <pt idx="102">
                  <v>1069.08</v>
                </pt>
                <pt idx="103">
                  <v>1069.08</v>
                </pt>
                <pt idx="104">
                  <v>1069.08</v>
                </pt>
                <pt idx="105">
                  <v>1112.16</v>
                </pt>
                <pt idx="106">
                  <v>1112.16</v>
                </pt>
                <pt idx="107">
                  <v>1112.16</v>
                </pt>
                <pt idx="108">
                  <v>1112.16</v>
                </pt>
                <pt idx="109">
                  <v>1112.16</v>
                </pt>
              </numCache>
            </numRef>
          </val>
          <smooth val="0"/>
        </ser>
        <ser>
          <idx val="3"/>
          <order val="3"/>
          <tx>
            <v>Zepbound</v>
          </tx>
          <spPr>
            <a:ln xmlns:a="http://schemas.openxmlformats.org/drawingml/2006/main" w="19050">
              <a:solidFill>
                <a:srgbClr val="B91C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'WAC List Price'!$A$30:$A$139</f>
              <strCache>
                <ptCount val="110"/>
                <pt idx="0">
                  <v>2017-12</v>
                </pt>
                <pt idx="1">
                  <v>2018-01</v>
                </pt>
                <pt idx="2">
                  <v>2018-02</v>
                </pt>
                <pt idx="3">
                  <v>2018-03</v>
                </pt>
                <pt idx="4">
                  <v>2018-04</v>
                </pt>
                <pt idx="5">
                  <v>2018-05</v>
                </pt>
                <pt idx="6">
                  <v>2018-06</v>
                </pt>
                <pt idx="7">
                  <v>2018-07</v>
                </pt>
                <pt idx="8">
                  <v>2018-08</v>
                </pt>
                <pt idx="9">
                  <v>2018-09</v>
                </pt>
                <pt idx="10">
                  <v>2018-10</v>
                </pt>
                <pt idx="11">
                  <v>2018-11</v>
                </pt>
                <pt idx="12">
                  <v>2018-12</v>
                </pt>
                <pt idx="13">
                  <v>2019-01</v>
                </pt>
                <pt idx="14">
                  <v>2019-02</v>
                </pt>
                <pt idx="15">
                  <v>2019-03</v>
                </pt>
                <pt idx="16">
                  <v>2019-04</v>
                </pt>
                <pt idx="17">
                  <v>2019-05</v>
                </pt>
                <pt idx="18">
                  <v>2019-06</v>
                </pt>
                <pt idx="19">
                  <v>2019-07</v>
                </pt>
                <pt idx="20">
                  <v>2019-08</v>
                </pt>
                <pt idx="21">
                  <v>2019-09</v>
                </pt>
                <pt idx="22">
                  <v>2019-10</v>
                </pt>
                <pt idx="23">
                  <v>2019-11</v>
                </pt>
                <pt idx="24">
                  <v>2019-12</v>
                </pt>
                <pt idx="25">
                  <v>2020-01</v>
                </pt>
                <pt idx="26">
                  <v>2020-02</v>
                </pt>
                <pt idx="27">
                  <v>2020-03</v>
                </pt>
                <pt idx="28">
                  <v>2020-04</v>
                </pt>
                <pt idx="29">
                  <v>2020-05</v>
                </pt>
                <pt idx="30">
                  <v>2020-06</v>
                </pt>
                <pt idx="31">
                  <v>2020-07</v>
                </pt>
                <pt idx="32">
                  <v>2020-08</v>
                </pt>
                <pt idx="33">
                  <v>2020-09</v>
                </pt>
                <pt idx="34">
                  <v>2020-10</v>
                </pt>
                <pt idx="35">
                  <v>2020-11</v>
                </pt>
                <pt idx="36">
                  <v>2020-12</v>
                </pt>
                <pt idx="37">
                  <v>2021-01</v>
                </pt>
                <pt idx="38">
                  <v>2021-02</v>
                </pt>
                <pt idx="39">
                  <v>2021-03</v>
                </pt>
                <pt idx="40">
                  <v>2021-04</v>
                </pt>
                <pt idx="41">
                  <v>2021-05</v>
                </pt>
                <pt idx="42">
                  <v>2021-06</v>
                </pt>
                <pt idx="43">
                  <v>2021-07</v>
                </pt>
                <pt idx="44">
                  <v>2021-08</v>
                </pt>
                <pt idx="45">
                  <v>2021-09</v>
                </pt>
                <pt idx="46">
                  <v>2021-10</v>
                </pt>
                <pt idx="47">
                  <v>2021-11</v>
                </pt>
                <pt idx="48">
                  <v>2021-12</v>
                </pt>
                <pt idx="49">
                  <v>2022-01</v>
                </pt>
                <pt idx="50">
                  <v>2022-02</v>
                </pt>
                <pt idx="51">
                  <v>2022-03</v>
                </pt>
                <pt idx="52">
                  <v>2022-04</v>
                </pt>
                <pt idx="53">
                  <v>2022-05</v>
                </pt>
                <pt idx="54">
                  <v>2022-06</v>
                </pt>
                <pt idx="55">
                  <v>2022-07</v>
                </pt>
                <pt idx="56">
                  <v>2022-08</v>
                </pt>
                <pt idx="57">
                  <v>2022-09</v>
                </pt>
                <pt idx="58">
                  <v>2022-10</v>
                </pt>
                <pt idx="59">
                  <v>2022-11</v>
                </pt>
                <pt idx="60">
                  <v>2022-12</v>
                </pt>
                <pt idx="61">
                  <v>2023-01</v>
                </pt>
                <pt idx="62">
                  <v>2023-02</v>
                </pt>
                <pt idx="63">
                  <v>2023-03</v>
                </pt>
                <pt idx="64">
                  <v>2023-04</v>
                </pt>
                <pt idx="65">
                  <v>2023-05</v>
                </pt>
                <pt idx="66">
                  <v>2023-06</v>
                </pt>
                <pt idx="67">
                  <v>2023-07</v>
                </pt>
                <pt idx="68">
                  <v>2023-08</v>
                </pt>
                <pt idx="69">
                  <v>2023-09</v>
                </pt>
                <pt idx="70">
                  <v>2023-10</v>
                </pt>
                <pt idx="71">
                  <v>2023-11</v>
                </pt>
                <pt idx="72">
                  <v>2023-12</v>
                </pt>
                <pt idx="73">
                  <v>2024-01</v>
                </pt>
                <pt idx="74">
                  <v>2024-02</v>
                </pt>
                <pt idx="75">
                  <v>2024-03</v>
                </pt>
                <pt idx="76">
                  <v>2024-04</v>
                </pt>
                <pt idx="77">
                  <v>2024-05</v>
                </pt>
                <pt idx="78">
                  <v>2024-06</v>
                </pt>
                <pt idx="79">
                  <v>2024-07</v>
                </pt>
                <pt idx="80">
                  <v>2024-08</v>
                </pt>
                <pt idx="81">
                  <v>2024-09</v>
                </pt>
                <pt idx="82">
                  <v>2024-10</v>
                </pt>
                <pt idx="83">
                  <v>2024-11</v>
                </pt>
                <pt idx="84">
                  <v>2024-12</v>
                </pt>
                <pt idx="85">
                  <v>2025-01</v>
                </pt>
                <pt idx="86">
                  <v>2025-02</v>
                </pt>
                <pt idx="87">
                  <v>2025-03</v>
                </pt>
                <pt idx="88">
                  <v>2025-04</v>
                </pt>
                <pt idx="89">
                  <v>2025-05</v>
                </pt>
                <pt idx="90">
                  <v>2025-06</v>
                </pt>
                <pt idx="91">
                  <v>2025-07</v>
                </pt>
                <pt idx="92">
                  <v>2025-08</v>
                </pt>
                <pt idx="93">
                  <v>2025-09</v>
                </pt>
                <pt idx="94">
                  <v>2025-10</v>
                </pt>
                <pt idx="95">
                  <v>2025-11</v>
                </pt>
                <pt idx="96">
                  <v>2025-12</v>
                </pt>
                <pt idx="97">
                  <v>2026-01</v>
                </pt>
                <pt idx="98">
                  <v>2026-02</v>
                </pt>
                <pt idx="99">
                  <v>2026-03</v>
                </pt>
                <pt idx="100">
                  <v>2026-04</v>
                </pt>
                <pt idx="101">
                  <v>2026-05</v>
                </pt>
                <pt idx="102">
                  <v>2026-06</v>
                </pt>
                <pt idx="103">
                  <v>2026-07</v>
                </pt>
                <pt idx="104">
                  <v>2026-08</v>
                </pt>
                <pt idx="105">
                  <v>2026-09</v>
                </pt>
                <pt idx="106">
                  <v>2026-10</v>
                </pt>
                <pt idx="107">
                  <v>2026-11</v>
                </pt>
                <pt idx="108">
                  <v>2026-12</v>
                </pt>
                <pt idx="109">
                  <v>2027-01</v>
                </pt>
              </strCache>
            </strRef>
          </cat>
          <val>
            <numRef>
              <f>'WAC List Price'!$E$30:$E$139</f>
              <numCache>
                <formatCode>\$#,##0.00</formatCode>
                <ptCount val="110"/>
                <pt idx="71">
                  <v>1059.87</v>
                </pt>
                <pt idx="72">
                  <v>1059.87</v>
                </pt>
                <pt idx="73">
                  <v>1059.87</v>
                </pt>
                <pt idx="74">
                  <v>1059.87</v>
                </pt>
                <pt idx="75">
                  <v>1059.87</v>
                </pt>
                <pt idx="76">
                  <v>1059.87</v>
                </pt>
                <pt idx="77">
                  <v>1059.87</v>
                </pt>
                <pt idx="78">
                  <v>1059.87</v>
                </pt>
                <pt idx="79">
                  <v>1059.87</v>
                </pt>
                <pt idx="80">
                  <v>1059.87</v>
                </pt>
                <pt idx="81">
                  <v>1059.87</v>
                </pt>
                <pt idx="82">
                  <v>1059.87</v>
                </pt>
                <pt idx="83">
                  <v>1059.87</v>
                </pt>
                <pt idx="84">
                  <v>1059.87</v>
                </pt>
                <pt idx="85">
                  <v>1059.87</v>
                </pt>
                <pt idx="86">
                  <v>1059.87</v>
                </pt>
                <pt idx="87">
                  <v>1059.87</v>
                </pt>
                <pt idx="88">
                  <v>1059.87</v>
                </pt>
                <pt idx="89">
                  <v>1059.87</v>
                </pt>
                <pt idx="90">
                  <v>1059.87</v>
                </pt>
                <pt idx="91">
                  <v>1059.87</v>
                </pt>
                <pt idx="92">
                  <v>1059.87</v>
                </pt>
                <pt idx="93">
                  <v>1059.87</v>
                </pt>
                <pt idx="94">
                  <v>1059.87</v>
                </pt>
                <pt idx="95">
                  <v>1059.87</v>
                </pt>
                <pt idx="96">
                  <v>1059.87</v>
                </pt>
                <pt idx="97">
                  <v>1059.87</v>
                </pt>
                <pt idx="98">
                  <v>1059.87</v>
                </pt>
                <pt idx="99">
                  <v>1059.87</v>
                </pt>
                <pt idx="100">
                  <v>1059.87</v>
                </pt>
                <pt idx="101">
                  <v>1059.87</v>
                </pt>
                <pt idx="102">
                  <v>1059.87</v>
                </pt>
                <pt idx="103">
                  <v>1086.37</v>
                </pt>
                <pt idx="104">
                  <v>1086.37</v>
                </pt>
                <pt idx="105">
                  <v>1086.37</v>
                </pt>
                <pt idx="106">
                  <v>1086.37</v>
                </pt>
                <pt idx="107">
                  <v>1086.37</v>
                </pt>
                <pt idx="108">
                  <v>1086.37</v>
                </pt>
                <pt idx="109">
                  <v>1086.37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48672768"/>
        <crosses val="autoZero"/>
        <auto val="1"/>
        <lblAlgn val="ctr"/>
        <lblOffset val="100"/>
        <noMultiLvlLbl val="1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\$#,##0" sourceLinked="0"/>
        <majorTickMark val="none"/>
        <minorTickMark val="none"/>
        <tickLblPos val="nextTo"/>
        <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48650112"/>
        <crosses val="autoZero"/>
        <crossBetween val="between"/>
      </valAx>
    </plotArea>
    <legend>
      <legendPos val="b"/>
      <overlay val="0"/>
      <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  <a:r>
            <a:t/>
          </a:r>
          <a:endParaRPr lang="en-US"/>
        </a:p>
      </txPr>
    </legend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lang="en-CA" sz="900">
                <a:latin typeface="Arial"/>
                <a:ea typeface="Arial"/>
                <a:cs typeface="Arial"/>
              </a:rPr>
              <a:t>Observed WAC/list price history (USD per fill)</a:t>
            </a:r>
          </a:p>
        </rich>
      </tx>
      <overlay val="0"/>
    </title>
    <plotArea>
      <layout/>
      <lineChart>
        <grouping val="standard"/>
        <varyColors val="0"/>
        <ser>
          <idx val="0"/>
          <order val="0"/>
          <tx>
            <v>Ozempic</v>
          </tx>
          <spPr>
            <a:ln xmlns:a="http://schemas.openxmlformats.org/drawingml/2006/main" w="19050">
              <a:solidFill>
                <a:srgbClr val="00A6C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'WAC List Price'!$A$30:$A$139</f>
              <strCache>
                <ptCount val="110"/>
                <pt idx="0">
                  <v>2017-12</v>
                </pt>
                <pt idx="1">
                  <v>2018-01</v>
                </pt>
                <pt idx="2">
                  <v>2018-02</v>
                </pt>
                <pt idx="3">
                  <v>2018-03</v>
                </pt>
                <pt idx="4">
                  <v>2018-04</v>
                </pt>
                <pt idx="5">
                  <v>2018-05</v>
                </pt>
                <pt idx="6">
                  <v>2018-06</v>
                </pt>
                <pt idx="7">
                  <v>2018-07</v>
                </pt>
                <pt idx="8">
                  <v>2018-08</v>
                </pt>
                <pt idx="9">
                  <v>2018-09</v>
                </pt>
                <pt idx="10">
                  <v>2018-10</v>
                </pt>
                <pt idx="11">
                  <v>2018-11</v>
                </pt>
                <pt idx="12">
                  <v>2018-12</v>
                </pt>
                <pt idx="13">
                  <v>2019-01</v>
                </pt>
                <pt idx="14">
                  <v>2019-02</v>
                </pt>
                <pt idx="15">
                  <v>2019-03</v>
                </pt>
                <pt idx="16">
                  <v>2019-04</v>
                </pt>
                <pt idx="17">
                  <v>2019-05</v>
                </pt>
                <pt idx="18">
                  <v>2019-06</v>
                </pt>
                <pt idx="19">
                  <v>2019-07</v>
                </pt>
                <pt idx="20">
                  <v>2019-08</v>
                </pt>
                <pt idx="21">
                  <v>2019-09</v>
                </pt>
                <pt idx="22">
                  <v>2019-10</v>
                </pt>
                <pt idx="23">
                  <v>2019-11</v>
                </pt>
                <pt idx="24">
                  <v>2019-12</v>
                </pt>
                <pt idx="25">
                  <v>2020-01</v>
                </pt>
                <pt idx="26">
                  <v>2020-02</v>
                </pt>
                <pt idx="27">
                  <v>2020-03</v>
                </pt>
                <pt idx="28">
                  <v>2020-04</v>
                </pt>
                <pt idx="29">
                  <v>2020-05</v>
                </pt>
                <pt idx="30">
                  <v>2020-06</v>
                </pt>
                <pt idx="31">
                  <v>2020-07</v>
                </pt>
                <pt idx="32">
                  <v>2020-08</v>
                </pt>
                <pt idx="33">
                  <v>2020-09</v>
                </pt>
                <pt idx="34">
                  <v>2020-10</v>
                </pt>
                <pt idx="35">
                  <v>2020-11</v>
                </pt>
                <pt idx="36">
                  <v>2020-12</v>
                </pt>
                <pt idx="37">
                  <v>2021-01</v>
                </pt>
                <pt idx="38">
                  <v>2021-02</v>
                </pt>
                <pt idx="39">
                  <v>2021-03</v>
                </pt>
                <pt idx="40">
                  <v>2021-04</v>
                </pt>
                <pt idx="41">
                  <v>2021-05</v>
                </pt>
                <pt idx="42">
                  <v>2021-06</v>
                </pt>
                <pt idx="43">
                  <v>2021-07</v>
                </pt>
                <pt idx="44">
                  <v>2021-08</v>
                </pt>
                <pt idx="45">
                  <v>2021-09</v>
                </pt>
                <pt idx="46">
                  <v>2021-10</v>
                </pt>
                <pt idx="47">
                  <v>2021-11</v>
                </pt>
                <pt idx="48">
                  <v>2021-12</v>
                </pt>
                <pt idx="49">
                  <v>2022-01</v>
                </pt>
                <pt idx="50">
                  <v>2022-02</v>
                </pt>
                <pt idx="51">
                  <v>2022-03</v>
                </pt>
                <pt idx="52">
                  <v>2022-04</v>
                </pt>
                <pt idx="53">
                  <v>2022-05</v>
                </pt>
                <pt idx="54">
                  <v>2022-06</v>
                </pt>
                <pt idx="55">
                  <v>2022-07</v>
                </pt>
                <pt idx="56">
                  <v>2022-08</v>
                </pt>
                <pt idx="57">
                  <v>2022-09</v>
                </pt>
                <pt idx="58">
                  <v>2022-10</v>
                </pt>
                <pt idx="59">
                  <v>2022-11</v>
                </pt>
                <pt idx="60">
                  <v>2022-12</v>
                </pt>
                <pt idx="61">
                  <v>2023-01</v>
                </pt>
                <pt idx="62">
                  <v>2023-02</v>
                </pt>
                <pt idx="63">
                  <v>2023-03</v>
                </pt>
                <pt idx="64">
                  <v>2023-04</v>
                </pt>
                <pt idx="65">
                  <v>2023-05</v>
                </pt>
                <pt idx="66">
                  <v>2023-06</v>
                </pt>
                <pt idx="67">
                  <v>2023-07</v>
                </pt>
                <pt idx="68">
                  <v>2023-08</v>
                </pt>
                <pt idx="69">
                  <v>2023-09</v>
                </pt>
                <pt idx="70">
                  <v>2023-10</v>
                </pt>
                <pt idx="71">
                  <v>2023-11</v>
                </pt>
                <pt idx="72">
                  <v>2023-12</v>
                </pt>
                <pt idx="73">
                  <v>2024-01</v>
                </pt>
                <pt idx="74">
                  <v>2024-02</v>
                </pt>
                <pt idx="75">
                  <v>2024-03</v>
                </pt>
                <pt idx="76">
                  <v>2024-04</v>
                </pt>
                <pt idx="77">
                  <v>2024-05</v>
                </pt>
                <pt idx="78">
                  <v>2024-06</v>
                </pt>
                <pt idx="79">
                  <v>2024-07</v>
                </pt>
                <pt idx="80">
                  <v>2024-08</v>
                </pt>
                <pt idx="81">
                  <v>2024-09</v>
                </pt>
                <pt idx="82">
                  <v>2024-10</v>
                </pt>
                <pt idx="83">
                  <v>2024-11</v>
                </pt>
                <pt idx="84">
                  <v>2024-12</v>
                </pt>
                <pt idx="85">
                  <v>2025-01</v>
                </pt>
                <pt idx="86">
                  <v>2025-02</v>
                </pt>
                <pt idx="87">
                  <v>2025-03</v>
                </pt>
                <pt idx="88">
                  <v>2025-04</v>
                </pt>
                <pt idx="89">
                  <v>2025-05</v>
                </pt>
                <pt idx="90">
                  <v>2025-06</v>
                </pt>
                <pt idx="91">
                  <v>2025-07</v>
                </pt>
                <pt idx="92">
                  <v>2025-08</v>
                </pt>
                <pt idx="93">
                  <v>2025-09</v>
                </pt>
                <pt idx="94">
                  <v>2025-10</v>
                </pt>
                <pt idx="95">
                  <v>2025-11</v>
                </pt>
                <pt idx="96">
                  <v>2025-12</v>
                </pt>
                <pt idx="97">
                  <v>2026-01</v>
                </pt>
                <pt idx="98">
                  <v>2026-02</v>
                </pt>
                <pt idx="99">
                  <v>2026-03</v>
                </pt>
                <pt idx="100">
                  <v>2026-04</v>
                </pt>
                <pt idx="101">
                  <v>2026-05</v>
                </pt>
                <pt idx="102">
                  <v>2026-06</v>
                </pt>
                <pt idx="103">
                  <v>2026-07</v>
                </pt>
                <pt idx="104">
                  <v>2026-08</v>
                </pt>
                <pt idx="105">
                  <v>2026-09</v>
                </pt>
                <pt idx="106">
                  <v>2026-10</v>
                </pt>
                <pt idx="107">
                  <v>2026-11</v>
                </pt>
                <pt idx="108">
                  <v>2026-12</v>
                </pt>
                <pt idx="109">
                  <v>2027-01</v>
                </pt>
              </strCache>
            </strRef>
          </cat>
          <val>
            <numRef>
              <f>'WAC List Price'!$B$30:$B$139</f>
              <numCache>
                <formatCode>\$#,##0.00</formatCode>
                <ptCount val="110"/>
                <pt idx="0">
                  <v>676</v>
                </pt>
                <pt idx="1">
                  <v>676</v>
                </pt>
                <pt idx="2">
                  <v>676</v>
                </pt>
                <pt idx="3">
                  <v>676</v>
                </pt>
                <pt idx="4">
                  <v>676</v>
                </pt>
                <pt idx="5">
                  <v>676</v>
                </pt>
                <pt idx="6">
                  <v>676</v>
                </pt>
                <pt idx="7">
                  <v>676</v>
                </pt>
                <pt idx="8">
                  <v>676</v>
                </pt>
                <pt idx="9">
                  <v>676</v>
                </pt>
                <pt idx="10">
                  <v>676</v>
                </pt>
                <pt idx="11">
                  <v>676</v>
                </pt>
                <pt idx="12">
                  <v>676</v>
                </pt>
                <pt idx="13">
                  <v>676</v>
                </pt>
                <pt idx="14">
                  <v>676</v>
                </pt>
                <pt idx="15">
                  <v>676</v>
                </pt>
                <pt idx="16">
                  <v>676</v>
                </pt>
                <pt idx="17">
                  <v>676</v>
                </pt>
                <pt idx="18">
                  <v>676</v>
                </pt>
                <pt idx="19">
                  <v>676</v>
                </pt>
                <pt idx="20">
                  <v>676</v>
                </pt>
                <pt idx="21">
                  <v>676</v>
                </pt>
                <pt idx="22">
                  <v>676</v>
                </pt>
                <pt idx="23">
                  <v>676</v>
                </pt>
                <pt idx="24">
                  <v>676</v>
                </pt>
                <pt idx="25">
                  <v>676</v>
                </pt>
                <pt idx="26">
                  <v>676</v>
                </pt>
                <pt idx="27">
                  <v>676</v>
                </pt>
                <pt idx="28">
                  <v>676</v>
                </pt>
                <pt idx="29">
                  <v>676</v>
                </pt>
                <pt idx="30">
                  <v>676</v>
                </pt>
                <pt idx="31">
                  <v>676</v>
                </pt>
                <pt idx="32">
                  <v>676</v>
                </pt>
                <pt idx="33">
                  <v>676</v>
                </pt>
                <pt idx="34">
                  <v>676</v>
                </pt>
                <pt idx="35">
                  <v>676</v>
                </pt>
                <pt idx="36">
                  <v>676</v>
                </pt>
                <pt idx="37">
                  <v>676</v>
                </pt>
                <pt idx="38">
                  <v>676</v>
                </pt>
                <pt idx="39">
                  <v>676</v>
                </pt>
                <pt idx="40">
                  <v>676</v>
                </pt>
                <pt idx="41">
                  <v>676</v>
                </pt>
                <pt idx="42">
                  <v>676</v>
                </pt>
                <pt idx="43">
                  <v>676</v>
                </pt>
                <pt idx="44">
                  <v>676</v>
                </pt>
                <pt idx="45">
                  <v>676</v>
                </pt>
                <pt idx="46">
                  <v>676</v>
                </pt>
                <pt idx="47">
                  <v>676</v>
                </pt>
                <pt idx="48">
                  <v>676</v>
                </pt>
                <pt idx="49">
                  <v>676</v>
                </pt>
                <pt idx="50">
                  <v>676</v>
                </pt>
                <pt idx="51">
                  <v>676</v>
                </pt>
                <pt idx="52">
                  <v>676</v>
                </pt>
                <pt idx="53">
                  <v>676</v>
                </pt>
                <pt idx="54">
                  <v>676</v>
                </pt>
                <pt idx="55">
                  <v>676</v>
                </pt>
                <pt idx="56">
                  <v>676</v>
                </pt>
                <pt idx="57">
                  <v>676</v>
                </pt>
                <pt idx="58">
                  <v>676</v>
                </pt>
                <pt idx="59">
                  <v>676</v>
                </pt>
                <pt idx="60">
                  <v>676</v>
                </pt>
                <pt idx="61">
                  <v>676</v>
                </pt>
                <pt idx="62">
                  <v>676</v>
                </pt>
                <pt idx="63">
                  <v>676</v>
                </pt>
                <pt idx="64">
                  <v>676</v>
                </pt>
                <pt idx="65">
                  <v>676</v>
                </pt>
                <pt idx="66">
                  <v>676</v>
                </pt>
                <pt idx="67">
                  <v>676</v>
                </pt>
                <pt idx="68">
                  <v>676</v>
                </pt>
                <pt idx="69">
                  <v>676</v>
                </pt>
                <pt idx="70">
                  <v>676</v>
                </pt>
                <pt idx="71">
                  <v>676</v>
                </pt>
                <pt idx="72">
                  <v>676</v>
                </pt>
                <pt idx="73">
                  <v>676</v>
                </pt>
                <pt idx="74">
                  <v>676</v>
                </pt>
                <pt idx="75">
                  <v>676</v>
                </pt>
                <pt idx="76">
                  <v>676</v>
                </pt>
                <pt idx="77">
                  <v>935.77</v>
                </pt>
                <pt idx="78">
                  <v>935.77</v>
                </pt>
                <pt idx="79">
                  <v>935.77</v>
                </pt>
                <pt idx="80">
                  <v>935.77</v>
                </pt>
                <pt idx="81">
                  <v>935.77</v>
                </pt>
                <pt idx="82">
                  <v>935.77</v>
                </pt>
                <pt idx="83">
                  <v>935.77</v>
                </pt>
                <pt idx="84">
                  <v>935.77</v>
                </pt>
                <pt idx="85">
                  <v>935.77</v>
                </pt>
                <pt idx="86">
                  <v>935.77</v>
                </pt>
                <pt idx="87">
                  <v>935.77</v>
                </pt>
                <pt idx="88">
                  <v>935.77</v>
                </pt>
                <pt idx="89">
                  <v>935.77</v>
                </pt>
                <pt idx="90">
                  <v>935.77</v>
                </pt>
                <pt idx="91">
                  <v>935.77</v>
                </pt>
                <pt idx="92">
                  <v>935.77</v>
                </pt>
                <pt idx="93">
                  <v>935.77</v>
                </pt>
                <pt idx="94">
                  <v>935.77</v>
                </pt>
                <pt idx="95">
                  <v>935.77</v>
                </pt>
                <pt idx="96">
                  <v>997.58</v>
                </pt>
                <pt idx="97">
                  <v>997.58</v>
                </pt>
                <pt idx="98">
                  <v>997.58</v>
                </pt>
                <pt idx="99">
                  <v>997.58</v>
                </pt>
                <pt idx="100">
                  <v>997.58</v>
                </pt>
                <pt idx="101">
                  <v>997.58</v>
                </pt>
                <pt idx="102">
                  <v>997.58</v>
                </pt>
                <pt idx="103">
                  <v>997.58</v>
                </pt>
                <pt idx="104">
                  <v>997.58</v>
                </pt>
                <pt idx="105">
                  <v>1027.51</v>
                </pt>
                <pt idx="106">
                  <v>1027.51</v>
                </pt>
                <pt idx="107">
                  <v>1027.51</v>
                </pt>
                <pt idx="108">
                  <v>1027.51</v>
                </pt>
                <pt idx="109">
                  <v>675</v>
                </pt>
              </numCache>
            </numRef>
          </val>
          <smooth val="0"/>
        </ser>
        <ser>
          <idx val="1"/>
          <order val="1"/>
          <tx>
            <v>Wegovy</v>
          </tx>
          <spPr>
            <a:ln xmlns:a="http://schemas.openxmlformats.org/drawingml/2006/main" w="19050">
              <a:solidFill>
                <a:srgbClr val="F59E0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'WAC List Price'!$A$30:$A$139</f>
              <strCache>
                <ptCount val="110"/>
                <pt idx="0">
                  <v>2017-12</v>
                </pt>
                <pt idx="1">
                  <v>2018-01</v>
                </pt>
                <pt idx="2">
                  <v>2018-02</v>
                </pt>
                <pt idx="3">
                  <v>2018-03</v>
                </pt>
                <pt idx="4">
                  <v>2018-04</v>
                </pt>
                <pt idx="5">
                  <v>2018-05</v>
                </pt>
                <pt idx="6">
                  <v>2018-06</v>
                </pt>
                <pt idx="7">
                  <v>2018-07</v>
                </pt>
                <pt idx="8">
                  <v>2018-08</v>
                </pt>
                <pt idx="9">
                  <v>2018-09</v>
                </pt>
                <pt idx="10">
                  <v>2018-10</v>
                </pt>
                <pt idx="11">
                  <v>2018-11</v>
                </pt>
                <pt idx="12">
                  <v>2018-12</v>
                </pt>
                <pt idx="13">
                  <v>2019-01</v>
                </pt>
                <pt idx="14">
                  <v>2019-02</v>
                </pt>
                <pt idx="15">
                  <v>2019-03</v>
                </pt>
                <pt idx="16">
                  <v>2019-04</v>
                </pt>
                <pt idx="17">
                  <v>2019-05</v>
                </pt>
                <pt idx="18">
                  <v>2019-06</v>
                </pt>
                <pt idx="19">
                  <v>2019-07</v>
                </pt>
                <pt idx="20">
                  <v>2019-08</v>
                </pt>
                <pt idx="21">
                  <v>2019-09</v>
                </pt>
                <pt idx="22">
                  <v>2019-10</v>
                </pt>
                <pt idx="23">
                  <v>2019-11</v>
                </pt>
                <pt idx="24">
                  <v>2019-12</v>
                </pt>
                <pt idx="25">
                  <v>2020-01</v>
                </pt>
                <pt idx="26">
                  <v>2020-02</v>
                </pt>
                <pt idx="27">
                  <v>2020-03</v>
                </pt>
                <pt idx="28">
                  <v>2020-04</v>
                </pt>
                <pt idx="29">
                  <v>2020-05</v>
                </pt>
                <pt idx="30">
                  <v>2020-06</v>
                </pt>
                <pt idx="31">
                  <v>2020-07</v>
                </pt>
                <pt idx="32">
                  <v>2020-08</v>
                </pt>
                <pt idx="33">
                  <v>2020-09</v>
                </pt>
                <pt idx="34">
                  <v>2020-10</v>
                </pt>
                <pt idx="35">
                  <v>2020-11</v>
                </pt>
                <pt idx="36">
                  <v>2020-12</v>
                </pt>
                <pt idx="37">
                  <v>2021-01</v>
                </pt>
                <pt idx="38">
                  <v>2021-02</v>
                </pt>
                <pt idx="39">
                  <v>2021-03</v>
                </pt>
                <pt idx="40">
                  <v>2021-04</v>
                </pt>
                <pt idx="41">
                  <v>2021-05</v>
                </pt>
                <pt idx="42">
                  <v>2021-06</v>
                </pt>
                <pt idx="43">
                  <v>2021-07</v>
                </pt>
                <pt idx="44">
                  <v>2021-08</v>
                </pt>
                <pt idx="45">
                  <v>2021-09</v>
                </pt>
                <pt idx="46">
                  <v>2021-10</v>
                </pt>
                <pt idx="47">
                  <v>2021-11</v>
                </pt>
                <pt idx="48">
                  <v>2021-12</v>
                </pt>
                <pt idx="49">
                  <v>2022-01</v>
                </pt>
                <pt idx="50">
                  <v>2022-02</v>
                </pt>
                <pt idx="51">
                  <v>2022-03</v>
                </pt>
                <pt idx="52">
                  <v>2022-04</v>
                </pt>
                <pt idx="53">
                  <v>2022-05</v>
                </pt>
                <pt idx="54">
                  <v>2022-06</v>
                </pt>
                <pt idx="55">
                  <v>2022-07</v>
                </pt>
                <pt idx="56">
                  <v>2022-08</v>
                </pt>
                <pt idx="57">
                  <v>2022-09</v>
                </pt>
                <pt idx="58">
                  <v>2022-10</v>
                </pt>
                <pt idx="59">
                  <v>2022-11</v>
                </pt>
                <pt idx="60">
                  <v>2022-12</v>
                </pt>
                <pt idx="61">
                  <v>2023-01</v>
                </pt>
                <pt idx="62">
                  <v>2023-02</v>
                </pt>
                <pt idx="63">
                  <v>2023-03</v>
                </pt>
                <pt idx="64">
                  <v>2023-04</v>
                </pt>
                <pt idx="65">
                  <v>2023-05</v>
                </pt>
                <pt idx="66">
                  <v>2023-06</v>
                </pt>
                <pt idx="67">
                  <v>2023-07</v>
                </pt>
                <pt idx="68">
                  <v>2023-08</v>
                </pt>
                <pt idx="69">
                  <v>2023-09</v>
                </pt>
                <pt idx="70">
                  <v>2023-10</v>
                </pt>
                <pt idx="71">
                  <v>2023-11</v>
                </pt>
                <pt idx="72">
                  <v>2023-12</v>
                </pt>
                <pt idx="73">
                  <v>2024-01</v>
                </pt>
                <pt idx="74">
                  <v>2024-02</v>
                </pt>
                <pt idx="75">
                  <v>2024-03</v>
                </pt>
                <pt idx="76">
                  <v>2024-04</v>
                </pt>
                <pt idx="77">
                  <v>2024-05</v>
                </pt>
                <pt idx="78">
                  <v>2024-06</v>
                </pt>
                <pt idx="79">
                  <v>2024-07</v>
                </pt>
                <pt idx="80">
                  <v>2024-08</v>
                </pt>
                <pt idx="81">
                  <v>2024-09</v>
                </pt>
                <pt idx="82">
                  <v>2024-10</v>
                </pt>
                <pt idx="83">
                  <v>2024-11</v>
                </pt>
                <pt idx="84">
                  <v>2024-12</v>
                </pt>
                <pt idx="85">
                  <v>2025-01</v>
                </pt>
                <pt idx="86">
                  <v>2025-02</v>
                </pt>
                <pt idx="87">
                  <v>2025-03</v>
                </pt>
                <pt idx="88">
                  <v>2025-04</v>
                </pt>
                <pt idx="89">
                  <v>2025-05</v>
                </pt>
                <pt idx="90">
                  <v>2025-06</v>
                </pt>
                <pt idx="91">
                  <v>2025-07</v>
                </pt>
                <pt idx="92">
                  <v>2025-08</v>
                </pt>
                <pt idx="93">
                  <v>2025-09</v>
                </pt>
                <pt idx="94">
                  <v>2025-10</v>
                </pt>
                <pt idx="95">
                  <v>2025-11</v>
                </pt>
                <pt idx="96">
                  <v>2025-12</v>
                </pt>
                <pt idx="97">
                  <v>2026-01</v>
                </pt>
                <pt idx="98">
                  <v>2026-02</v>
                </pt>
                <pt idx="99">
                  <v>2026-03</v>
                </pt>
                <pt idx="100">
                  <v>2026-04</v>
                </pt>
                <pt idx="101">
                  <v>2026-05</v>
                </pt>
                <pt idx="102">
                  <v>2026-06</v>
                </pt>
                <pt idx="103">
                  <v>2026-07</v>
                </pt>
                <pt idx="104">
                  <v>2026-08</v>
                </pt>
                <pt idx="105">
                  <v>2026-09</v>
                </pt>
                <pt idx="106">
                  <v>2026-10</v>
                </pt>
                <pt idx="107">
                  <v>2026-11</v>
                </pt>
                <pt idx="108">
                  <v>2026-12</v>
                </pt>
                <pt idx="109">
                  <v>2027-01</v>
                </pt>
              </strCache>
            </strRef>
          </cat>
          <val>
            <numRef>
              <f>'WAC List Price'!$C$30:$C$139</f>
              <numCache>
                <formatCode>\$#,##0.00</formatCode>
                <ptCount val="110"/>
                <pt idx="42">
                  <v>1349.02</v>
                </pt>
                <pt idx="43">
                  <v>1349.02</v>
                </pt>
                <pt idx="44">
                  <v>1349.02</v>
                </pt>
                <pt idx="45">
                  <v>1349.02</v>
                </pt>
                <pt idx="46">
                  <v>1349.02</v>
                </pt>
                <pt idx="47">
                  <v>1349.02</v>
                </pt>
                <pt idx="48">
                  <v>1349.02</v>
                </pt>
                <pt idx="49">
                  <v>1349.02</v>
                </pt>
                <pt idx="50">
                  <v>1349.02</v>
                </pt>
                <pt idx="51">
                  <v>1349.02</v>
                </pt>
                <pt idx="52">
                  <v>1349.02</v>
                </pt>
                <pt idx="53">
                  <v>1349.02</v>
                </pt>
                <pt idx="54">
                  <v>1349.02</v>
                </pt>
                <pt idx="55">
                  <v>1349.02</v>
                </pt>
                <pt idx="56">
                  <v>1349.02</v>
                </pt>
                <pt idx="57">
                  <v>1349.02</v>
                </pt>
                <pt idx="58">
                  <v>1349.02</v>
                </pt>
                <pt idx="59">
                  <v>1349.02</v>
                </pt>
                <pt idx="60">
                  <v>1349.02</v>
                </pt>
                <pt idx="61">
                  <v>1349.02</v>
                </pt>
                <pt idx="62">
                  <v>1349.02</v>
                </pt>
                <pt idx="63">
                  <v>1349.02</v>
                </pt>
                <pt idx="64">
                  <v>1349.02</v>
                </pt>
                <pt idx="65">
                  <v>1349.02</v>
                </pt>
                <pt idx="66">
                  <v>1349.02</v>
                </pt>
                <pt idx="67">
                  <v>1349.02</v>
                </pt>
                <pt idx="68">
                  <v>1349.02</v>
                </pt>
                <pt idx="69">
                  <v>1349.02</v>
                </pt>
                <pt idx="70">
                  <v>1349.02</v>
                </pt>
                <pt idx="71">
                  <v>1349.02</v>
                </pt>
                <pt idx="72">
                  <v>1349.02</v>
                </pt>
                <pt idx="73">
                  <v>1349.02</v>
                </pt>
                <pt idx="74">
                  <v>1349.02</v>
                </pt>
                <pt idx="75">
                  <v>1349.02</v>
                </pt>
                <pt idx="76">
                  <v>1349.02</v>
                </pt>
                <pt idx="77">
                  <v>1349.02</v>
                </pt>
                <pt idx="78">
                  <v>1349.02</v>
                </pt>
                <pt idx="79">
                  <v>1349.02</v>
                </pt>
                <pt idx="80">
                  <v>1349.02</v>
                </pt>
                <pt idx="81">
                  <v>1349.02</v>
                </pt>
                <pt idx="82">
                  <v>1349.02</v>
                </pt>
                <pt idx="83">
                  <v>1349.02</v>
                </pt>
                <pt idx="84">
                  <v>1349.02</v>
                </pt>
                <pt idx="85">
                  <v>1349.02</v>
                </pt>
                <pt idx="86">
                  <v>1349.02</v>
                </pt>
                <pt idx="87">
                  <v>1349.02</v>
                </pt>
                <pt idx="88">
                  <v>1349.02</v>
                </pt>
                <pt idx="89">
                  <v>1349.02</v>
                </pt>
                <pt idx="90">
                  <v>1349.02</v>
                </pt>
                <pt idx="91">
                  <v>1349.02</v>
                </pt>
                <pt idx="92">
                  <v>1349.02</v>
                </pt>
                <pt idx="93">
                  <v>1349.02</v>
                </pt>
                <pt idx="94">
                  <v>1349.02</v>
                </pt>
                <pt idx="95">
                  <v>1349.02</v>
                </pt>
                <pt idx="96">
                  <v>1349.02</v>
                </pt>
                <pt idx="97">
                  <v>1349.02</v>
                </pt>
                <pt idx="98">
                  <v>1349.02</v>
                </pt>
                <pt idx="99">
                  <v>1349.02</v>
                </pt>
                <pt idx="100">
                  <v>1349.02</v>
                </pt>
                <pt idx="101">
                  <v>1349.02</v>
                </pt>
                <pt idx="102">
                  <v>1349.02</v>
                </pt>
                <pt idx="103">
                  <v>1349.02</v>
                </pt>
                <pt idx="104">
                  <v>1349.02</v>
                </pt>
                <pt idx="105">
                  <v>1349.02</v>
                </pt>
                <pt idx="106">
                  <v>1349.02</v>
                </pt>
                <pt idx="107">
                  <v>1349.02</v>
                </pt>
                <pt idx="108">
                  <v>1349.02</v>
                </pt>
                <pt idx="109">
                  <v>675</v>
                </pt>
              </numCache>
            </numRef>
          </val>
          <smooth val="0"/>
        </ser>
        <ser>
          <idx val="2"/>
          <order val="2"/>
          <tx>
            <v>Mounjaro</v>
          </tx>
          <spPr>
            <a:ln xmlns:a="http://schemas.openxmlformats.org/drawingml/2006/main" w="19050">
              <a:solidFill>
                <a:srgbClr val="0F76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'WAC List Price'!$A$30:$A$139</f>
              <strCache>
                <ptCount val="110"/>
                <pt idx="0">
                  <v>2017-12</v>
                </pt>
                <pt idx="1">
                  <v>2018-01</v>
                </pt>
                <pt idx="2">
                  <v>2018-02</v>
                </pt>
                <pt idx="3">
                  <v>2018-03</v>
                </pt>
                <pt idx="4">
                  <v>2018-04</v>
                </pt>
                <pt idx="5">
                  <v>2018-05</v>
                </pt>
                <pt idx="6">
                  <v>2018-06</v>
                </pt>
                <pt idx="7">
                  <v>2018-07</v>
                </pt>
                <pt idx="8">
                  <v>2018-08</v>
                </pt>
                <pt idx="9">
                  <v>2018-09</v>
                </pt>
                <pt idx="10">
                  <v>2018-10</v>
                </pt>
                <pt idx="11">
                  <v>2018-11</v>
                </pt>
                <pt idx="12">
                  <v>2018-12</v>
                </pt>
                <pt idx="13">
                  <v>2019-01</v>
                </pt>
                <pt idx="14">
                  <v>2019-02</v>
                </pt>
                <pt idx="15">
                  <v>2019-03</v>
                </pt>
                <pt idx="16">
                  <v>2019-04</v>
                </pt>
                <pt idx="17">
                  <v>2019-05</v>
                </pt>
                <pt idx="18">
                  <v>2019-06</v>
                </pt>
                <pt idx="19">
                  <v>2019-07</v>
                </pt>
                <pt idx="20">
                  <v>2019-08</v>
                </pt>
                <pt idx="21">
                  <v>2019-09</v>
                </pt>
                <pt idx="22">
                  <v>2019-10</v>
                </pt>
                <pt idx="23">
                  <v>2019-11</v>
                </pt>
                <pt idx="24">
                  <v>2019-12</v>
                </pt>
                <pt idx="25">
                  <v>2020-01</v>
                </pt>
                <pt idx="26">
                  <v>2020-02</v>
                </pt>
                <pt idx="27">
                  <v>2020-03</v>
                </pt>
                <pt idx="28">
                  <v>2020-04</v>
                </pt>
                <pt idx="29">
                  <v>2020-05</v>
                </pt>
                <pt idx="30">
                  <v>2020-06</v>
                </pt>
                <pt idx="31">
                  <v>2020-07</v>
                </pt>
                <pt idx="32">
                  <v>2020-08</v>
                </pt>
                <pt idx="33">
                  <v>2020-09</v>
                </pt>
                <pt idx="34">
                  <v>2020-10</v>
                </pt>
                <pt idx="35">
                  <v>2020-11</v>
                </pt>
                <pt idx="36">
                  <v>2020-12</v>
                </pt>
                <pt idx="37">
                  <v>2021-01</v>
                </pt>
                <pt idx="38">
                  <v>2021-02</v>
                </pt>
                <pt idx="39">
                  <v>2021-03</v>
                </pt>
                <pt idx="40">
                  <v>2021-04</v>
                </pt>
                <pt idx="41">
                  <v>2021-05</v>
                </pt>
                <pt idx="42">
                  <v>2021-06</v>
                </pt>
                <pt idx="43">
                  <v>2021-07</v>
                </pt>
                <pt idx="44">
                  <v>2021-08</v>
                </pt>
                <pt idx="45">
                  <v>2021-09</v>
                </pt>
                <pt idx="46">
                  <v>2021-10</v>
                </pt>
                <pt idx="47">
                  <v>2021-11</v>
                </pt>
                <pt idx="48">
                  <v>2021-12</v>
                </pt>
                <pt idx="49">
                  <v>2022-01</v>
                </pt>
                <pt idx="50">
                  <v>2022-02</v>
                </pt>
                <pt idx="51">
                  <v>2022-03</v>
                </pt>
                <pt idx="52">
                  <v>2022-04</v>
                </pt>
                <pt idx="53">
                  <v>2022-05</v>
                </pt>
                <pt idx="54">
                  <v>2022-06</v>
                </pt>
                <pt idx="55">
                  <v>2022-07</v>
                </pt>
                <pt idx="56">
                  <v>2022-08</v>
                </pt>
                <pt idx="57">
                  <v>2022-09</v>
                </pt>
                <pt idx="58">
                  <v>2022-10</v>
                </pt>
                <pt idx="59">
                  <v>2022-11</v>
                </pt>
                <pt idx="60">
                  <v>2022-12</v>
                </pt>
                <pt idx="61">
                  <v>2023-01</v>
                </pt>
                <pt idx="62">
                  <v>2023-02</v>
                </pt>
                <pt idx="63">
                  <v>2023-03</v>
                </pt>
                <pt idx="64">
                  <v>2023-04</v>
                </pt>
                <pt idx="65">
                  <v>2023-05</v>
                </pt>
                <pt idx="66">
                  <v>2023-06</v>
                </pt>
                <pt idx="67">
                  <v>2023-07</v>
                </pt>
                <pt idx="68">
                  <v>2023-08</v>
                </pt>
                <pt idx="69">
                  <v>2023-09</v>
                </pt>
                <pt idx="70">
                  <v>2023-10</v>
                </pt>
                <pt idx="71">
                  <v>2023-11</v>
                </pt>
                <pt idx="72">
                  <v>2023-12</v>
                </pt>
                <pt idx="73">
                  <v>2024-01</v>
                </pt>
                <pt idx="74">
                  <v>2024-02</v>
                </pt>
                <pt idx="75">
                  <v>2024-03</v>
                </pt>
                <pt idx="76">
                  <v>2024-04</v>
                </pt>
                <pt idx="77">
                  <v>2024-05</v>
                </pt>
                <pt idx="78">
                  <v>2024-06</v>
                </pt>
                <pt idx="79">
                  <v>2024-07</v>
                </pt>
                <pt idx="80">
                  <v>2024-08</v>
                </pt>
                <pt idx="81">
                  <v>2024-09</v>
                </pt>
                <pt idx="82">
                  <v>2024-10</v>
                </pt>
                <pt idx="83">
                  <v>2024-11</v>
                </pt>
                <pt idx="84">
                  <v>2024-12</v>
                </pt>
                <pt idx="85">
                  <v>2025-01</v>
                </pt>
                <pt idx="86">
                  <v>2025-02</v>
                </pt>
                <pt idx="87">
                  <v>2025-03</v>
                </pt>
                <pt idx="88">
                  <v>2025-04</v>
                </pt>
                <pt idx="89">
                  <v>2025-05</v>
                </pt>
                <pt idx="90">
                  <v>2025-06</v>
                </pt>
                <pt idx="91">
                  <v>2025-07</v>
                </pt>
                <pt idx="92">
                  <v>2025-08</v>
                </pt>
                <pt idx="93">
                  <v>2025-09</v>
                </pt>
                <pt idx="94">
                  <v>2025-10</v>
                </pt>
                <pt idx="95">
                  <v>2025-11</v>
                </pt>
                <pt idx="96">
                  <v>2025-12</v>
                </pt>
                <pt idx="97">
                  <v>2026-01</v>
                </pt>
                <pt idx="98">
                  <v>2026-02</v>
                </pt>
                <pt idx="99">
                  <v>2026-03</v>
                </pt>
                <pt idx="100">
                  <v>2026-04</v>
                </pt>
                <pt idx="101">
                  <v>2026-05</v>
                </pt>
                <pt idx="102">
                  <v>2026-06</v>
                </pt>
                <pt idx="103">
                  <v>2026-07</v>
                </pt>
                <pt idx="104">
                  <v>2026-08</v>
                </pt>
                <pt idx="105">
                  <v>2026-09</v>
                </pt>
                <pt idx="106">
                  <v>2026-10</v>
                </pt>
                <pt idx="107">
                  <v>2026-11</v>
                </pt>
                <pt idx="108">
                  <v>2026-12</v>
                </pt>
                <pt idx="109">
                  <v>2027-01</v>
                </pt>
              </strCache>
            </strRef>
          </cat>
          <val>
            <numRef>
              <f>'WAC List Price'!$D$30:$D$139</f>
              <numCache>
                <formatCode>\$#,##0.00</formatCode>
                <ptCount val="110"/>
                <pt idx="53">
                  <v>974.33</v>
                </pt>
                <pt idx="54">
                  <v>974.33</v>
                </pt>
                <pt idx="55">
                  <v>974.33</v>
                </pt>
                <pt idx="56">
                  <v>974.33</v>
                </pt>
                <pt idx="57">
                  <v>974.33</v>
                </pt>
                <pt idx="58">
                  <v>974.33</v>
                </pt>
                <pt idx="59">
                  <v>974.33</v>
                </pt>
                <pt idx="60">
                  <v>974.33</v>
                </pt>
                <pt idx="61">
                  <v>974.33</v>
                </pt>
                <pt idx="62">
                  <v>974.33</v>
                </pt>
                <pt idx="63">
                  <v>974.33</v>
                </pt>
                <pt idx="64">
                  <v>974.33</v>
                </pt>
                <pt idx="65">
                  <v>974.33</v>
                </pt>
                <pt idx="66">
                  <v>974.33</v>
                </pt>
                <pt idx="67">
                  <v>974.33</v>
                </pt>
                <pt idx="68">
                  <v>974.33</v>
                </pt>
                <pt idx="69">
                  <v>974.33</v>
                </pt>
                <pt idx="70">
                  <v>974.33</v>
                </pt>
                <pt idx="71">
                  <v>974.33</v>
                </pt>
                <pt idx="72">
                  <v>974.33</v>
                </pt>
                <pt idx="73">
                  <v>974.33</v>
                </pt>
                <pt idx="74">
                  <v>974.33</v>
                </pt>
                <pt idx="75">
                  <v>974.33</v>
                </pt>
                <pt idx="76">
                  <v>974.33</v>
                </pt>
                <pt idx="77">
                  <v>1069.08</v>
                </pt>
                <pt idx="78">
                  <v>1069.08</v>
                </pt>
                <pt idx="79">
                  <v>1069.08</v>
                </pt>
                <pt idx="80">
                  <v>1069.08</v>
                </pt>
                <pt idx="81">
                  <v>1069.08</v>
                </pt>
                <pt idx="82">
                  <v>1069.08</v>
                </pt>
                <pt idx="83">
                  <v>1069.08</v>
                </pt>
                <pt idx="84">
                  <v>1069.08</v>
                </pt>
                <pt idx="85">
                  <v>1069.08</v>
                </pt>
                <pt idx="86">
                  <v>1069.08</v>
                </pt>
                <pt idx="87">
                  <v>1069.08</v>
                </pt>
                <pt idx="88">
                  <v>1069.08</v>
                </pt>
                <pt idx="89">
                  <v>1069.08</v>
                </pt>
                <pt idx="90">
                  <v>1069.08</v>
                </pt>
                <pt idx="91">
                  <v>1069.08</v>
                </pt>
                <pt idx="92">
                  <v>1069.08</v>
                </pt>
                <pt idx="93">
                  <v>1069.08</v>
                </pt>
                <pt idx="94">
                  <v>1069.08</v>
                </pt>
                <pt idx="95">
                  <v>1069.08</v>
                </pt>
                <pt idx="96">
                  <v>1069.08</v>
                </pt>
                <pt idx="97">
                  <v>1069.08</v>
                </pt>
                <pt idx="98">
                  <v>1069.08</v>
                </pt>
                <pt idx="99">
                  <v>1069.08</v>
                </pt>
                <pt idx="100">
                  <v>1069.08</v>
                </pt>
                <pt idx="101">
                  <v>1069.08</v>
                </pt>
                <pt idx="102">
                  <v>1069.08</v>
                </pt>
                <pt idx="103">
                  <v>1069.08</v>
                </pt>
                <pt idx="104">
                  <v>1069.08</v>
                </pt>
                <pt idx="105">
                  <v>1112.16</v>
                </pt>
                <pt idx="106">
                  <v>1112.16</v>
                </pt>
                <pt idx="107">
                  <v>1112.16</v>
                </pt>
                <pt idx="108">
                  <v>1112.16</v>
                </pt>
                <pt idx="109">
                  <v>1112.16</v>
                </pt>
              </numCache>
            </numRef>
          </val>
          <smooth val="0"/>
        </ser>
        <ser>
          <idx val="3"/>
          <order val="3"/>
          <tx>
            <v>Zepbound</v>
          </tx>
          <spPr>
            <a:ln xmlns:a="http://schemas.openxmlformats.org/drawingml/2006/main" w="19050">
              <a:solidFill>
                <a:srgbClr val="B91C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'WAC List Price'!$A$30:$A$139</f>
              <strCache>
                <ptCount val="110"/>
                <pt idx="0">
                  <v>2017-12</v>
                </pt>
                <pt idx="1">
                  <v>2018-01</v>
                </pt>
                <pt idx="2">
                  <v>2018-02</v>
                </pt>
                <pt idx="3">
                  <v>2018-03</v>
                </pt>
                <pt idx="4">
                  <v>2018-04</v>
                </pt>
                <pt idx="5">
                  <v>2018-05</v>
                </pt>
                <pt idx="6">
                  <v>2018-06</v>
                </pt>
                <pt idx="7">
                  <v>2018-07</v>
                </pt>
                <pt idx="8">
                  <v>2018-08</v>
                </pt>
                <pt idx="9">
                  <v>2018-09</v>
                </pt>
                <pt idx="10">
                  <v>2018-10</v>
                </pt>
                <pt idx="11">
                  <v>2018-11</v>
                </pt>
                <pt idx="12">
                  <v>2018-12</v>
                </pt>
                <pt idx="13">
                  <v>2019-01</v>
                </pt>
                <pt idx="14">
                  <v>2019-02</v>
                </pt>
                <pt idx="15">
                  <v>2019-03</v>
                </pt>
                <pt idx="16">
                  <v>2019-04</v>
                </pt>
                <pt idx="17">
                  <v>2019-05</v>
                </pt>
                <pt idx="18">
                  <v>2019-06</v>
                </pt>
                <pt idx="19">
                  <v>2019-07</v>
                </pt>
                <pt idx="20">
                  <v>2019-08</v>
                </pt>
                <pt idx="21">
                  <v>2019-09</v>
                </pt>
                <pt idx="22">
                  <v>2019-10</v>
                </pt>
                <pt idx="23">
                  <v>2019-11</v>
                </pt>
                <pt idx="24">
                  <v>2019-12</v>
                </pt>
                <pt idx="25">
                  <v>2020-01</v>
                </pt>
                <pt idx="26">
                  <v>2020-02</v>
                </pt>
                <pt idx="27">
                  <v>2020-03</v>
                </pt>
                <pt idx="28">
                  <v>2020-04</v>
                </pt>
                <pt idx="29">
                  <v>2020-05</v>
                </pt>
                <pt idx="30">
                  <v>2020-06</v>
                </pt>
                <pt idx="31">
                  <v>2020-07</v>
                </pt>
                <pt idx="32">
                  <v>2020-08</v>
                </pt>
                <pt idx="33">
                  <v>2020-09</v>
                </pt>
                <pt idx="34">
                  <v>2020-10</v>
                </pt>
                <pt idx="35">
                  <v>2020-11</v>
                </pt>
                <pt idx="36">
                  <v>2020-12</v>
                </pt>
                <pt idx="37">
                  <v>2021-01</v>
                </pt>
                <pt idx="38">
                  <v>2021-02</v>
                </pt>
                <pt idx="39">
                  <v>2021-03</v>
                </pt>
                <pt idx="40">
                  <v>2021-04</v>
                </pt>
                <pt idx="41">
                  <v>2021-05</v>
                </pt>
                <pt idx="42">
                  <v>2021-06</v>
                </pt>
                <pt idx="43">
                  <v>2021-07</v>
                </pt>
                <pt idx="44">
                  <v>2021-08</v>
                </pt>
                <pt idx="45">
                  <v>2021-09</v>
                </pt>
                <pt idx="46">
                  <v>2021-10</v>
                </pt>
                <pt idx="47">
                  <v>2021-11</v>
                </pt>
                <pt idx="48">
                  <v>2021-12</v>
                </pt>
                <pt idx="49">
                  <v>2022-01</v>
                </pt>
                <pt idx="50">
                  <v>2022-02</v>
                </pt>
                <pt idx="51">
                  <v>2022-03</v>
                </pt>
                <pt idx="52">
                  <v>2022-04</v>
                </pt>
                <pt idx="53">
                  <v>2022-05</v>
                </pt>
                <pt idx="54">
                  <v>2022-06</v>
                </pt>
                <pt idx="55">
                  <v>2022-07</v>
                </pt>
                <pt idx="56">
                  <v>2022-08</v>
                </pt>
                <pt idx="57">
                  <v>2022-09</v>
                </pt>
                <pt idx="58">
                  <v>2022-10</v>
                </pt>
                <pt idx="59">
                  <v>2022-11</v>
                </pt>
                <pt idx="60">
                  <v>2022-12</v>
                </pt>
                <pt idx="61">
                  <v>2023-01</v>
                </pt>
                <pt idx="62">
                  <v>2023-02</v>
                </pt>
                <pt idx="63">
                  <v>2023-03</v>
                </pt>
                <pt idx="64">
                  <v>2023-04</v>
                </pt>
                <pt idx="65">
                  <v>2023-05</v>
                </pt>
                <pt idx="66">
                  <v>2023-06</v>
                </pt>
                <pt idx="67">
                  <v>2023-07</v>
                </pt>
                <pt idx="68">
                  <v>2023-08</v>
                </pt>
                <pt idx="69">
                  <v>2023-09</v>
                </pt>
                <pt idx="70">
                  <v>2023-10</v>
                </pt>
                <pt idx="71">
                  <v>2023-11</v>
                </pt>
                <pt idx="72">
                  <v>2023-12</v>
                </pt>
                <pt idx="73">
                  <v>2024-01</v>
                </pt>
                <pt idx="74">
                  <v>2024-02</v>
                </pt>
                <pt idx="75">
                  <v>2024-03</v>
                </pt>
                <pt idx="76">
                  <v>2024-04</v>
                </pt>
                <pt idx="77">
                  <v>2024-05</v>
                </pt>
                <pt idx="78">
                  <v>2024-06</v>
                </pt>
                <pt idx="79">
                  <v>2024-07</v>
                </pt>
                <pt idx="80">
                  <v>2024-08</v>
                </pt>
                <pt idx="81">
                  <v>2024-09</v>
                </pt>
                <pt idx="82">
                  <v>2024-10</v>
                </pt>
                <pt idx="83">
                  <v>2024-11</v>
                </pt>
                <pt idx="84">
                  <v>2024-12</v>
                </pt>
                <pt idx="85">
                  <v>2025-01</v>
                </pt>
                <pt idx="86">
                  <v>2025-02</v>
                </pt>
                <pt idx="87">
                  <v>2025-03</v>
                </pt>
                <pt idx="88">
                  <v>2025-04</v>
                </pt>
                <pt idx="89">
                  <v>2025-05</v>
                </pt>
                <pt idx="90">
                  <v>2025-06</v>
                </pt>
                <pt idx="91">
                  <v>2025-07</v>
                </pt>
                <pt idx="92">
                  <v>2025-08</v>
                </pt>
                <pt idx="93">
                  <v>2025-09</v>
                </pt>
                <pt idx="94">
                  <v>2025-10</v>
                </pt>
                <pt idx="95">
                  <v>2025-11</v>
                </pt>
                <pt idx="96">
                  <v>2025-12</v>
                </pt>
                <pt idx="97">
                  <v>2026-01</v>
                </pt>
                <pt idx="98">
                  <v>2026-02</v>
                </pt>
                <pt idx="99">
                  <v>2026-03</v>
                </pt>
                <pt idx="100">
                  <v>2026-04</v>
                </pt>
                <pt idx="101">
                  <v>2026-05</v>
                </pt>
                <pt idx="102">
                  <v>2026-06</v>
                </pt>
                <pt idx="103">
                  <v>2026-07</v>
                </pt>
                <pt idx="104">
                  <v>2026-08</v>
                </pt>
                <pt idx="105">
                  <v>2026-09</v>
                </pt>
                <pt idx="106">
                  <v>2026-10</v>
                </pt>
                <pt idx="107">
                  <v>2026-11</v>
                </pt>
                <pt idx="108">
                  <v>2026-12</v>
                </pt>
                <pt idx="109">
                  <v>2027-01</v>
                </pt>
              </strCache>
            </strRef>
          </cat>
          <val>
            <numRef>
              <f>'WAC List Price'!$E$30:$E$139</f>
              <numCache>
                <formatCode>\$#,##0.00</formatCode>
                <ptCount val="110"/>
                <pt idx="71">
                  <v>1059.87</v>
                </pt>
                <pt idx="72">
                  <v>1059.87</v>
                </pt>
                <pt idx="73">
                  <v>1059.87</v>
                </pt>
                <pt idx="74">
                  <v>1059.87</v>
                </pt>
                <pt idx="75">
                  <v>1059.87</v>
                </pt>
                <pt idx="76">
                  <v>1059.87</v>
                </pt>
                <pt idx="77">
                  <v>1059.87</v>
                </pt>
                <pt idx="78">
                  <v>1059.87</v>
                </pt>
                <pt idx="79">
                  <v>1059.87</v>
                </pt>
                <pt idx="80">
                  <v>1059.87</v>
                </pt>
                <pt idx="81">
                  <v>1059.87</v>
                </pt>
                <pt idx="82">
                  <v>1059.87</v>
                </pt>
                <pt idx="83">
                  <v>1059.87</v>
                </pt>
                <pt idx="84">
                  <v>1059.87</v>
                </pt>
                <pt idx="85">
                  <v>1059.87</v>
                </pt>
                <pt idx="86">
                  <v>1059.87</v>
                </pt>
                <pt idx="87">
                  <v>1059.87</v>
                </pt>
                <pt idx="88">
                  <v>1059.87</v>
                </pt>
                <pt idx="89">
                  <v>1059.87</v>
                </pt>
                <pt idx="90">
                  <v>1059.87</v>
                </pt>
                <pt idx="91">
                  <v>1059.87</v>
                </pt>
                <pt idx="92">
                  <v>1059.87</v>
                </pt>
                <pt idx="93">
                  <v>1059.87</v>
                </pt>
                <pt idx="94">
                  <v>1059.87</v>
                </pt>
                <pt idx="95">
                  <v>1059.87</v>
                </pt>
                <pt idx="96">
                  <v>1059.87</v>
                </pt>
                <pt idx="97">
                  <v>1059.87</v>
                </pt>
                <pt idx="98">
                  <v>1059.87</v>
                </pt>
                <pt idx="99">
                  <v>1059.87</v>
                </pt>
                <pt idx="100">
                  <v>1059.87</v>
                </pt>
                <pt idx="101">
                  <v>1059.87</v>
                </pt>
                <pt idx="102">
                  <v>1059.87</v>
                </pt>
                <pt idx="103">
                  <v>1086.37</v>
                </pt>
                <pt idx="104">
                  <v>1086.37</v>
                </pt>
                <pt idx="105">
                  <v>1086.37</v>
                </pt>
                <pt idx="106">
                  <v>1086.37</v>
                </pt>
                <pt idx="107">
                  <v>1086.37</v>
                </pt>
                <pt idx="108">
                  <v>1086.37</v>
                </pt>
                <pt idx="109">
                  <v>1086.37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48672768"/>
        <crosses val="autoZero"/>
        <auto val="1"/>
        <lblAlgn val="ctr"/>
        <lblOffset val="100"/>
        <noMultiLvlLbl val="1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\$#,##0" sourceLinked="0"/>
        <majorTickMark val="none"/>
        <minorTickMark val="none"/>
        <tickLblPos val="nextTo"/>
        <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48650112"/>
        <crosses val="autoZero"/>
        <crossBetween val="between"/>
      </valAx>
    </plotArea>
    <legend>
      <legendPos val="b"/>
      <overlay val="0"/>
      <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  <a:r>
            <a:t/>
          </a:r>
          <a:endParaRPr lang="en-US"/>
        </a:p>
      </txPr>
    </legend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lang="en-CA" sz="900">
                <a:latin typeface="Arial"/>
                <a:ea typeface="Arial"/>
                <a:cs typeface="Arial"/>
              </a:rPr>
              <a:t>Advertised minimum patient payment (conditional)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Minimum patient pay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'Savings Offers'!$A$20:$A$25</f>
              <strCache>
                <ptCount val="6"/>
                <pt idx="0">
                  <v>Zepbound</v>
                </pt>
                <pt idx="1">
                  <v>Wegovy / Wegovy HD</v>
                </pt>
                <pt idx="2">
                  <v>Wegovy tablets</v>
                </pt>
                <pt idx="3">
                  <v>Foundayo</v>
                </pt>
                <pt idx="4">
                  <v>Saxenda</v>
                </pt>
                <pt idx="5">
                  <v>Victoza</v>
                </pt>
              </strCache>
            </strRef>
          </cat>
          <val>
            <numRef>
              <f>'Savings Offers'!$B$20:$B$25</f>
              <numCache>
                <formatCode>\$#,##0</formatCode>
                <ptCount val="6"/>
                <pt idx="0">
                  <v>25</v>
                </pt>
                <pt idx="1">
                  <v>25</v>
                </pt>
                <pt idx="2">
                  <v>25</v>
                </pt>
                <pt idx="3">
                  <v>25</v>
                </pt>
                <pt idx="4">
                  <v>25</v>
                </pt>
                <pt idx="5">
                  <v>25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48672768"/>
        <crosses val="autoZero"/>
        <auto val="1"/>
        <lblAlgn val="ctr"/>
        <lblOffset val="100"/>
        <noMultiLvlLbl val="1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\$#,##0" sourceLinked="0"/>
        <majorTickMark val="none"/>
        <minorTickMark val="none"/>
        <tickLblPos val="nextTo"/>
        <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48650112"/>
        <crosses val="autoZero"/>
        <crossBetween val="between"/>
      </valAx>
    </plotArea>
    <legend>
      <legendPos val="b"/>
      <overlay val="0"/>
      <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  <a:r>
            <a:t/>
          </a:r>
          <a:endParaRPr lang="en-US"/>
        </a:p>
      </txPr>
    </legend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lang="en-CA" sz="900">
                <a:latin typeface="Arial"/>
                <a:ea typeface="Arial"/>
                <a:cs typeface="Arial"/>
              </a:rPr>
              <a:t>Advertised minimum patient payment (conditional)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Minimum patient pay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'Savings Offers'!$A$20:$A$25</f>
              <strCache>
                <ptCount val="6"/>
                <pt idx="0">
                  <v>Zepbound</v>
                </pt>
                <pt idx="1">
                  <v>Wegovy / Wegovy HD</v>
                </pt>
                <pt idx="2">
                  <v>Wegovy tablets</v>
                </pt>
                <pt idx="3">
                  <v>Foundayo</v>
                </pt>
                <pt idx="4">
                  <v>Saxenda</v>
                </pt>
                <pt idx="5">
                  <v>Victoza</v>
                </pt>
              </strCache>
            </strRef>
          </cat>
          <val>
            <numRef>
              <f>'Savings Offers'!$B$20:$B$25</f>
              <numCache>
                <formatCode>\$#,##0</formatCode>
                <ptCount val="6"/>
                <pt idx="0">
                  <v>25</v>
                </pt>
                <pt idx="1">
                  <v>25</v>
                </pt>
                <pt idx="2">
                  <v>25</v>
                </pt>
                <pt idx="3">
                  <v>25</v>
                </pt>
                <pt idx="4">
                  <v>25</v>
                </pt>
                <pt idx="5">
                  <v>25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48672768"/>
        <crosses val="autoZero"/>
        <auto val="1"/>
        <lblAlgn val="ctr"/>
        <lblOffset val="100"/>
        <noMultiLvlLbl val="1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\$#,##0" sourceLinked="0"/>
        <majorTickMark val="none"/>
        <minorTickMark val="none"/>
        <tickLblPos val="nextTo"/>
        <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48650112"/>
        <crosses val="autoZero"/>
        <crossBetween val="between"/>
      </valAx>
    </plotArea>
    <legend>
      <legendPos val="b"/>
      <overlay val="0"/>
      <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  <a:r>
            <a:t/>
          </a:r>
          <a:endParaRPr lang="en-US"/>
        </a:p>
      </txPr>
    </legend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lang="en-CA" sz="900">
                <a:latin typeface="Arial"/>
                <a:ea typeface="Arial"/>
                <a:cs typeface="Arial"/>
              </a:rPr>
              <a:t>Public government price concepts (not directly comparable)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Amount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'Government Prices'!$A$16:$A$19</f>
              <strCache>
                <ptCount val="4"/>
                <pt idx="0">
                  <v>Bridge patient payment</v>
                </pt>
                <pt idx="1">
                  <v>MFN acquisition benchmark</v>
                </pt>
                <pt idx="2">
                  <v>2027 MFP Ozempic/Rybelsus</v>
                </pt>
                <pt idx="3">
                  <v>2027 MFP Wegovy</v>
                </pt>
              </strCache>
            </strRef>
          </cat>
          <val>
            <numRef>
              <f>'Government Prices'!$B$16:$B$19</f>
              <numCache>
                <formatCode>\$#,##0</formatCode>
                <ptCount val="4"/>
                <pt idx="0">
                  <v>50</v>
                </pt>
                <pt idx="1">
                  <v>245</v>
                </pt>
                <pt idx="2">
                  <v>274</v>
                </pt>
                <pt idx="3">
                  <v>385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48672768"/>
        <crosses val="autoZero"/>
        <auto val="1"/>
        <lblAlgn val="ctr"/>
        <lblOffset val="100"/>
        <noMultiLvlLbl val="1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\$#,##0" sourceLinked="0"/>
        <majorTickMark val="none"/>
        <minorTickMark val="none"/>
        <tickLblPos val="nextTo"/>
        <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48650112"/>
        <crosses val="autoZero"/>
        <crossBetween val="between"/>
      </valAx>
    </plotArea>
    <legend>
      <legendPos val="b"/>
      <overlay val="0"/>
      <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  <a:r>
            <a:t/>
          </a:r>
          <a:endParaRPr lang="en-US"/>
        </a:p>
      </txPr>
    </legend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lang="en-CA" sz="900">
                <a:latin typeface="Arial"/>
                <a:ea typeface="Arial"/>
                <a:cs typeface="Arial"/>
              </a:rPr>
              <a:t>Public government price concepts (not directly comparable)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Amount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'Government Prices'!$A$16:$A$19</f>
              <strCache>
                <ptCount val="4"/>
                <pt idx="0">
                  <v>Bridge patient payment</v>
                </pt>
                <pt idx="1">
                  <v>MFN acquisition benchmark</v>
                </pt>
                <pt idx="2">
                  <v>2027 MFP Ozempic/Rybelsus</v>
                </pt>
                <pt idx="3">
                  <v>2027 MFP Wegovy</v>
                </pt>
              </strCache>
            </strRef>
          </cat>
          <val>
            <numRef>
              <f>'Government Prices'!$B$16:$B$19</f>
              <numCache>
                <formatCode>\$#,##0</formatCode>
                <ptCount val="4"/>
                <pt idx="0">
                  <v>50</v>
                </pt>
                <pt idx="1">
                  <v>245</v>
                </pt>
                <pt idx="2">
                  <v>274</v>
                </pt>
                <pt idx="3">
                  <v>385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48672768"/>
        <crosses val="autoZero"/>
        <auto val="1"/>
        <lblAlgn val="ctr"/>
        <lblOffset val="100"/>
        <noMultiLvlLbl val="1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\$#,##0" sourceLinked="0"/>
        <majorTickMark val="none"/>
        <minorTickMark val="none"/>
        <tickLblPos val="nextTo"/>
        <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48650112"/>
        <crosses val="autoZero"/>
        <crossBetween val="between"/>
      </valAx>
    </plotArea>
    <legend>
      <legendPos val="b"/>
      <overlay val="0"/>
      <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  <a:r>
            <a:t/>
          </a:r>
          <a:endParaRPr lang="en-US"/>
        </a:p>
      </txPr>
    </legend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lang="en-CA" sz="900">
                <a:latin typeface="Arial"/>
                <a:ea typeface="Arial"/>
                <a:cs typeface="Arial"/>
              </a:rPr>
              <a:t>Selected public/research-provided channel metrics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Percent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'Company Statements'!$A$21:$A$24</f>
              <strCache>
                <ptCount val="4"/>
                <pt idx="0">
                  <v>Novo retained share of list after rebates/fees</v>
                </pt>
                <pt idx="1">
                  <v>Zepbound self-pay share- all Rx</v>
                </pt>
                <pt idx="2">
                  <v>Zepbound self-pay share - new Rx</v>
                </pt>
                <pt idx="3">
                  <v>Lilly realized-price decline excl. prior-estimate changes</v>
                </pt>
              </strCache>
            </strRef>
          </cat>
          <val>
            <numRef>
              <f>'Company Statements'!$B$21:$B$24</f>
              <numCache>
                <formatCode>0%</formatCode>
                <ptCount val="4"/>
                <pt idx="0">
                  <v>0.6</v>
                </pt>
                <pt idx="1">
                  <v>0.45</v>
                </pt>
                <pt idx="2">
                  <v>0.55</v>
                </pt>
                <pt idx="3">
                  <v>-0.09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48672768"/>
        <crosses val="autoZero"/>
        <auto val="1"/>
        <lblAlgn val="ctr"/>
        <lblOffset val="100"/>
        <noMultiLvlLbl val="1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0%" sourceLinked="0"/>
        <majorTickMark val="none"/>
        <minorTickMark val="none"/>
        <tickLblPos val="nextTo"/>
        <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48650112"/>
        <crosses val="autoZero"/>
        <crossBetween val="between"/>
      </valAx>
    </plotArea>
    <legend>
      <legendPos val="b"/>
      <overlay val="0"/>
      <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  <a:r>
            <a:t/>
          </a:r>
          <a:endParaRPr lang="en-US"/>
        </a:p>
      </txPr>
    </legend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lang="en-CA" sz="900">
                <a:latin typeface="Arial"/>
                <a:ea typeface="Arial"/>
                <a:cs typeface="Arial"/>
              </a:rPr>
              <a:t>Selected public/research-provided channel metrics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Percent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'Company Statements'!$A$21:$A$24</f>
              <strCache>
                <ptCount val="4"/>
                <pt idx="0">
                  <v>Novo retained share of list after rebates/fees</v>
                </pt>
                <pt idx="1">
                  <v>Zepbound self-pay share- all Rx</v>
                </pt>
                <pt idx="2">
                  <v>Zepbound self-pay share - new Rx</v>
                </pt>
                <pt idx="3">
                  <v>Lilly realized-price decline excl. prior-estimate changes</v>
                </pt>
              </strCache>
            </strRef>
          </cat>
          <val>
            <numRef>
              <f>'Company Statements'!$B$21:$B$24</f>
              <numCache>
                <formatCode>0%</formatCode>
                <ptCount val="4"/>
                <pt idx="0">
                  <v>0.6</v>
                </pt>
                <pt idx="1">
                  <v>0.45</v>
                </pt>
                <pt idx="2">
                  <v>0.55</v>
                </pt>
                <pt idx="3">
                  <v>-0.09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48672768"/>
        <crosses val="autoZero"/>
        <auto val="1"/>
        <lblAlgn val="ctr"/>
        <lblOffset val="100"/>
        <noMultiLvlLbl val="1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0%" sourceLinked="0"/>
        <majorTickMark val="none"/>
        <minorTickMark val="none"/>
        <tickLblPos val="nextTo"/>
        <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48650112"/>
        <crosses val="autoZero"/>
        <crossBetween val="between"/>
      </valAx>
    </plotArea>
    <legend>
      <legendPos val="b"/>
      <overlay val="0"/>
      <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  <a:r>
            <a:t/>
          </a:r>
          <a:endParaRPr lang="en-US"/>
        </a:p>
      </txPr>
    </legend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lang="en-CA" sz="900">
                <a:latin typeface="Arial"/>
                <a:ea typeface="Arial"/>
                <a:cs typeface="Arial"/>
              </a:rPr>
              <a:t>Captured Zepbound WAC vs NADAC per fill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Calculated WAC/fill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'Bloomberg Capture'!$A$6:$A$17</f>
              <strCache>
                <ptCount val="12"/>
                <pt idx="0">
                  <v>2.5 mg</v>
                </pt>
                <pt idx="1">
                  <v>5 mg</v>
                </pt>
                <pt idx="2">
                  <v>7.5 mg</v>
                </pt>
                <pt idx="3">
                  <v>10 mg</v>
                </pt>
                <pt idx="4">
                  <v>12.5 mg</v>
                </pt>
                <pt idx="5">
                  <v>15 mg</v>
                </pt>
                <pt idx="6">
                  <v>2.5 mg</v>
                </pt>
                <pt idx="7">
                  <v>5 mg</v>
                </pt>
                <pt idx="8">
                  <v>7.5 mg</v>
                </pt>
                <pt idx="9">
                  <v>10 mg</v>
                </pt>
                <pt idx="10">
                  <v>12.5 mg</v>
                </pt>
                <pt idx="11">
                  <v>15 mg</v>
                </pt>
              </strCache>
            </strRef>
          </cat>
          <val>
            <numRef>
              <f>'Bloomberg Capture'!$E$6:$E$17</f>
              <numCache>
                <formatCode>\$#,##0.00</formatCode>
                <ptCount val="12"/>
                <pt idx="0">
                  <v>1086.38</v>
                </pt>
                <pt idx="1">
                  <v>1086.38</v>
                </pt>
                <pt idx="2">
                  <v>1086.38</v>
                </pt>
                <pt idx="3">
                  <v>1086.38</v>
                </pt>
                <pt idx="4">
                  <v>1086.38</v>
                </pt>
                <pt idx="5">
                  <v>1086.38</v>
                </pt>
                <pt idx="6">
                  <v>499.0079999999999</v>
                </pt>
                <pt idx="7">
                  <v>499.0079999999999</v>
                </pt>
                <pt idx="8">
                  <v>499.0079999999999</v>
                </pt>
                <pt idx="9">
                  <v>699</v>
                </pt>
                <pt idx="10">
                  <v>699</v>
                </pt>
                <pt idx="11">
                  <v>699</v>
                </pt>
              </numCache>
            </numRef>
          </val>
        </ser>
        <ser>
          <idx val="1"/>
          <order val="1"/>
          <tx>
            <v>Calculated NADAC/fill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'Bloomberg Capture'!$A$6:$A$17</f>
              <strCache>
                <ptCount val="12"/>
                <pt idx="0">
                  <v>2.5 mg</v>
                </pt>
                <pt idx="1">
                  <v>5 mg</v>
                </pt>
                <pt idx="2">
                  <v>7.5 mg</v>
                </pt>
                <pt idx="3">
                  <v>10 mg</v>
                </pt>
                <pt idx="4">
                  <v>12.5 mg</v>
                </pt>
                <pt idx="5">
                  <v>15 mg</v>
                </pt>
                <pt idx="6">
                  <v>2.5 mg</v>
                </pt>
                <pt idx="7">
                  <v>5 mg</v>
                </pt>
                <pt idx="8">
                  <v>7.5 mg</v>
                </pt>
                <pt idx="9">
                  <v>10 mg</v>
                </pt>
                <pt idx="10">
                  <v>12.5 mg</v>
                </pt>
                <pt idx="11">
                  <v>15 mg</v>
                </pt>
              </strCache>
            </strRef>
          </cat>
          <val>
            <numRef>
              <f>'Bloomberg Capture'!$G$6:$G$17</f>
              <numCache>
                <formatCode>\$#,##0.00</formatCode>
                <ptCount val="12"/>
                <pt idx="0">
                  <v>1051.4</v>
                </pt>
                <pt idx="1">
                  <v>1051.54</v>
                </pt>
                <pt idx="2">
                  <v>1051.56</v>
                </pt>
                <pt idx="3">
                  <v>1051.54</v>
                </pt>
                <pt idx="4">
                  <v>1052.02</v>
                </pt>
                <pt idx="5">
                  <v>1052.22</v>
                </pt>
                <pt idx="6">
                  <v>482.28</v>
                </pt>
                <pt idx="7">
                  <v>482.16</v>
                </pt>
                <pt idx="8">
                  <v>481.6799999999999</v>
                </pt>
                <pt idx="9">
                  <v>675.264</v>
                </pt>
                <pt idx="10">
                  <v>678.024</v>
                </pt>
                <pt idx="11">
                  <v>672.0719999999999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1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\$#,##0" sourceLinked="0"/>
        <majorTickMark val="none"/>
        <minorTickMark val="none"/>
        <tickLblPos val="nextTo"/>
        <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48650112"/>
        <crosses val="autoZero"/>
        <crossBetween val="between"/>
      </valAx>
    </plotArea>
    <legend>
      <legendPos val="b"/>
      <overlay val="0"/>
      <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  <a:r>
            <a:t/>
          </a:r>
          <a:endParaRPr lang="en-US"/>
        </a:p>
      </txPr>
    </legend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12</xdr:row>
      <xdr:rowOff>0</xdr:rowOff>
    </xdr:from>
    <xdr:to>
      <xdr:col>14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406400</xdr:colOff>
      <xdr:row>32</xdr:row>
      <xdr:rowOff>0</xdr:rowOff>
    </xdr:from>
    <xdr:to>
      <xdr:col>4</xdr:col>
      <xdr:colOff>795867</xdr:colOff>
      <xdr:row>41</xdr:row>
      <xdr:rowOff>50800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F28A07A-7EB8-5862-98D4-2D25077E813A}"/>
            </a:ext>
          </a:extLst>
        </xdr:cNvPr>
        <xdr:cNvSpPr txBox="1"/>
      </xdr:nvSpPr>
      <xdr:spPr>
        <a:xfrm>
          <a:off x="406400" y="7789333"/>
          <a:ext cx="6790267" cy="1727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Great video that was posted one day ago:</a:t>
          </a:r>
        </a:p>
        <a:p>
          <a:endParaRPr lang="en-US" sz="1100"/>
        </a:p>
        <a:p>
          <a:r>
            <a:rPr lang="en-US" sz="1100"/>
            <a:t>Wegovy: heart faliure.</a:t>
          </a:r>
          <a:r>
            <a:rPr lang="en-US" sz="1100" baseline="0"/>
            <a:t> Obesity is one of the main drivers for hearts being compressed by fat.</a:t>
          </a:r>
        </a:p>
        <a:p>
          <a:r>
            <a:rPr lang="en-US" sz="1100" baseline="0"/>
            <a:t>Ozempic for periphiral </a:t>
          </a:r>
          <a:endParaRPr lang="en-US" sz="1100"/>
        </a:p>
      </xdr:txBody>
    </xdr:sp>
    <xdr:clientData/>
  </xdr:twoCellAnchor>
</xdr:wsDr>
</file>

<file path=xl/drawings/drawing2.xml><?xml version="1.0" encoding="utf-8"?>
<wsDr xmlns="http://schemas.openxmlformats.org/drawingml/2006/spreadsheetDrawing">
  <twoCellAnchor>
    <from>
      <col>12</col>
      <colOff>0</colOff>
      <row>3</row>
      <rowOff>0</rowOff>
    </from>
    <to>
      <col>22</col>
      <colOff>0</colOff>
      <row>22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12</col>
      <colOff>0</colOff>
      <row>23</row>
      <rowOff>0</rowOff>
    </from>
    <to>
      <col>22</col>
      <colOff>0</colOff>
      <row>42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12</col>
      <colOff>0</colOff>
      <row>3</row>
      <rowOff>0</rowOff>
    </from>
    <to>
      <col>22</col>
      <colOff>0</colOff>
      <row>22</row>
      <rowOff>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12</col>
      <colOff>0</colOff>
      <row>23</row>
      <rowOff>0</rowOff>
    </from>
    <to>
      <col>22</col>
      <colOff>0</colOff>
      <row>42</row>
      <rowOff>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3</xdr:row>
      <xdr:rowOff>0</xdr:rowOff>
    </xdr:from>
    <xdr:to>
      <xdr:col>22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23</xdr:row>
      <xdr:rowOff>0</xdr:rowOff>
    </xdr:from>
    <xdr:to>
      <xdr:col>22</xdr:col>
      <xdr:colOff>0</xdr:colOff>
      <xdr:row>42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3</xdr:row>
      <xdr:rowOff>0</xdr:rowOff>
    </xdr:from>
    <xdr:to>
      <xdr:col>22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17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13</xdr:row>
      <xdr:rowOff>0</xdr:rowOff>
    </xdr:from>
    <xdr:to>
      <xdr:col>12</xdr:col>
      <xdr:colOff>0</xdr:colOff>
      <xdr:row>30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101600</xdr:colOff>
      <xdr:row>20</xdr:row>
      <xdr:rowOff>50800</xdr:rowOff>
    </xdr:from>
    <xdr:to>
      <xdr:col>2</xdr:col>
      <xdr:colOff>1473200</xdr:colOff>
      <xdr:row>34</xdr:row>
      <xdr:rowOff>127000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CF7BDC6-DFAA-C32D-4360-B62C02BBAB68}"/>
            </a:ext>
          </a:extLst>
        </xdr:cNvPr>
        <xdr:cNvSpPr txBox="1"/>
      </xdr:nvSpPr>
      <xdr:spPr>
        <a:xfrm>
          <a:off x="101600" y="4419600"/>
          <a:ext cx="5334000" cy="256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MFN Aquisition breakdiwn</a:t>
          </a:r>
          <a:r>
            <a:rPr lang="en-US" sz="1100" baseline="0"/>
            <a:t> is important when checking for </a:t>
          </a:r>
          <a:endParaRPr 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18</xdr:row>
      <xdr:rowOff>0</xdr:rowOff>
    </xdr:from>
    <xdr:to>
      <xdr:col>12</xdr:col>
      <xdr:colOff>0</xdr:colOff>
      <xdr:row>35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139700</xdr:rowOff>
    </xdr:from>
    <xdr:to>
      <xdr:col>18</xdr:col>
      <xdr:colOff>0</xdr:colOff>
      <xdr:row>33</xdr:row>
      <xdr:rowOff>165100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2:F28" headerRowCount="1" totalsRowShown="0" headerRowDxfId="1">
  <autoFilter ref="A22:F28"/>
  <tableColumns count="6">
    <tableColumn id="1" name="FDA approval"/>
    <tableColumn id="2" name="Brand"/>
    <tableColumn id="3" name="Active ingredient"/>
    <tableColumn id="4" name="FDA-approved strengths" dataDxfId="2"/>
    <tableColumn id="5" name="Usual maintenance dose"/>
    <tableColumn id="6" name="Company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id="2" name="Table3" displayName="Table3" ref="A31:C35" headerRowCount="1" totalsRowShown="0" headerRowDxfId="0">
  <autoFilter ref="A31:C35"/>
  <tableColumns count="3">
    <tableColumn id="1" name="Presentation"/>
    <tableColumn id="2" name="Available dose per injection"/>
    <tableColumn id="3" name="Package contents"/>
  </tableColumns>
  <tableStyleInfo name="TableStyleDark8" showFirstColumn="0" showLastColumn="0" showRowStripes="1" showColumnStripes="0"/>
</table>
</file>

<file path=xl/tables/table3.xml><?xml version="1.0" encoding="utf-8"?>
<table xmlns="http://schemas.openxmlformats.org/spreadsheetml/2006/main" id="3" name="ProviderPricesTable" displayName="ProviderPricesTable" ref="A5:T102" headerRowCount="1" totalsRowShown="0">
  <tableColumns count="20">
    <tableColumn id="1" name="Provider"/>
    <tableColumn id="2" name="Dose (mg)"/>
    <tableColumn id="3" name="All-in monthly (USD)"/>
    <tableColumn id="4" name="Annualized (USD)"/>
    <tableColumn id="5" name="USD per mg (4-week month)"/>
    <tableColumn id="6" name="Starting dose monthly"/>
    <tableColumn id="7" name="First-year total"/>
    <tableColumn id="8" name="Membership monthly"/>
    <tableColumn id="9" name="Prepaid monthly"/>
    <tableColumn id="10" name="Prepaid term"/>
    <tableColumn id="11" name="Pricing model"/>
    <tableColumn id="12" name="Structure"/>
    <tableColumn id="13" name="Evidence status"/>
    <tableColumn id="14" name="Disclosure score"/>
    <tableColumn id="15" name="Pharmacy named"/>
    <tableColumn id="16" name="Pharmacy disclosure"/>
    <tableColumn id="17" name="Captured"/>
    <tableColumn id="18" name="Source URL"/>
    <tableColumn id="19" name="Archive URL"/>
    <tableColumn id="20" name="Terms and cau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Id="rIdDrw1" Type="http://schemas.openxmlformats.org/officeDocument/2006/relationships/drawing" Target="../drawings/drawing1.x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Relationship Id="rIdDrw3" Type="http://schemas.openxmlformats.org/officeDocument/2006/relationships/drawing" Target="../drawings/drawing3.xml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Relationship Id="rIdDrw4" Type="http://schemas.openxmlformats.org/officeDocument/2006/relationships/drawing" Target="../drawings/drawing4.xml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4.xml" Id="rId1"/><Relationship Id="rIdDrw5" Type="http://schemas.openxmlformats.org/officeDocument/2006/relationships/drawing" Target="../drawings/drawing5.xml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/><Relationship Id="rIdDrw6" Type="http://schemas.openxmlformats.org/officeDocument/2006/relationships/drawing" Target="../drawings/drawing6.x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6.xml" Id="rId1"/><Relationship Id="rIdDrw7" Type="http://schemas.openxmlformats.org/officeDocument/2006/relationships/drawing" Target="../drawings/drawing7.xml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7.xml" Id="rId1"/><Relationship Id="rIdDrw8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showGridLines="0" topLeftCell="A18" workbookViewId="0">
      <selection activeCell="A25" sqref="A25:F25"/>
    </sheetView>
  </sheetViews>
  <sheetFormatPr baseColWidth="10" defaultRowHeight="14"/>
  <cols>
    <col width="34.1640625" customWidth="1" style="48" min="1" max="1"/>
    <col width="37.5" customWidth="1" style="48" min="2" max="2"/>
    <col width="22.6640625" bestFit="1" customWidth="1" style="48" min="3" max="3"/>
    <col width="69.83203125" customWidth="1" style="48" min="4" max="4"/>
    <col width="52.83203125" customWidth="1" style="48" min="5" max="5"/>
    <col width="61.83203125" customWidth="1" style="48" min="6" max="6"/>
  </cols>
  <sheetData>
    <row r="1" ht="23" customHeight="1" s="48">
      <c r="A1" s="37" t="inlineStr">
        <is>
          <t>U.S. Branded GLP-1 Price Observatory (for Obesity)</t>
        </is>
      </c>
    </row>
    <row r="2" ht="15" customHeight="1" s="48">
      <c r="A2" s="56" t="inlineStr">
        <is>
          <t>FDA-approved GLP-1 medicines for chronic weight management</t>
        </is>
      </c>
      <c r="B2" s="56" t="n"/>
      <c r="C2" s="56" t="n"/>
      <c r="D2" s="56" t="n"/>
      <c r="E2" s="56" t="n"/>
      <c r="F2" s="56" t="n"/>
    </row>
    <row r="3" ht="15" customHeight="1" s="48">
      <c r="A3" s="55" t="inlineStr">
        <is>
          <t>FDA approval</t>
        </is>
      </c>
      <c r="B3" s="55" t="inlineStr">
        <is>
          <t>Brand</t>
        </is>
      </c>
      <c r="C3" s="55" t="inlineStr">
        <is>
          <t>FDA record code</t>
        </is>
      </c>
      <c r="D3" s="55" t="inlineStr">
        <is>
          <t>Active ingredient</t>
        </is>
      </c>
      <c r="E3" s="55" t="inlineStr">
        <is>
          <t>Company at approval</t>
        </is>
      </c>
      <c r="F3" s="55" t="inlineStr">
        <is>
          <t>Current U.S. company/marketer</t>
        </is>
      </c>
    </row>
    <row r="4" ht="21" customHeight="1" s="48">
      <c r="A4" t="inlineStr">
        <is>
          <t>Dec. 23, 2014</t>
        </is>
      </c>
      <c r="B4" s="54" t="inlineStr">
        <is>
          <t>Saxenda</t>
        </is>
      </c>
      <c r="C4" s="54" t="n"/>
      <c r="D4" t="inlineStr">
        <is>
          <t>Liraglutide</t>
        </is>
      </c>
      <c r="E4" t="inlineStr">
        <is>
          <t>Novo Nordisk</t>
        </is>
      </c>
      <c r="F4" t="inlineStr">
        <is>
          <t>Novo Nordisk</t>
        </is>
      </c>
    </row>
    <row r="5" ht="15" customHeight="1" s="48">
      <c r="A5" t="inlineStr">
        <is>
          <t>Jun. 4, 2021</t>
        </is>
      </c>
      <c r="B5" s="54" t="inlineStr">
        <is>
          <t>Wegovy injection</t>
        </is>
      </c>
      <c r="C5" t="inlineStr">
        <is>
          <t>NDA 215256</t>
        </is>
      </c>
      <c r="D5" t="inlineStr">
        <is>
          <t>Semaglutide</t>
        </is>
      </c>
      <c r="E5" t="inlineStr">
        <is>
          <t>Novo Nordisk</t>
        </is>
      </c>
      <c r="F5" t="inlineStr">
        <is>
          <t>Novo Nordisk</t>
        </is>
      </c>
    </row>
    <row r="6" ht="15" customHeight="1" s="48">
      <c r="A6" s="58" t="inlineStr">
        <is>
          <t>Nov. 8, 2023</t>
        </is>
      </c>
      <c r="B6" s="59" t="inlineStr">
        <is>
          <t>Zepbound</t>
        </is>
      </c>
      <c r="C6" s="59" t="n"/>
      <c r="D6" s="58" t="inlineStr">
        <is>
          <t>Tirzepatide</t>
        </is>
      </c>
      <c r="E6" s="58" t="inlineStr">
        <is>
          <t>Eli Lilly</t>
        </is>
      </c>
      <c r="F6" s="58" t="inlineStr">
        <is>
          <t>Eli Lilly</t>
        </is>
      </c>
    </row>
    <row r="7" ht="15" customHeight="1" s="48">
      <c r="A7" t="inlineStr">
        <is>
          <t>Dec. 22, 2025</t>
        </is>
      </c>
      <c r="B7" s="54" t="inlineStr">
        <is>
          <t>Wegovy tablets</t>
        </is>
      </c>
      <c r="C7" s="54" t="inlineStr">
        <is>
          <t>NDA 218316</t>
        </is>
      </c>
      <c r="D7" t="inlineStr">
        <is>
          <t>Oral semaglutide</t>
        </is>
      </c>
      <c r="E7" t="inlineStr">
        <is>
          <t>Novo Nordisk</t>
        </is>
      </c>
      <c r="F7" t="inlineStr">
        <is>
          <t>Novo Nordisk</t>
        </is>
      </c>
    </row>
    <row r="8" ht="15" customHeight="1" s="48">
      <c r="A8" s="58" t="inlineStr">
        <is>
          <t>Mar. 19, 2026</t>
        </is>
      </c>
      <c r="B8" s="59" t="inlineStr">
        <is>
          <t>Wegovy HD</t>
        </is>
      </c>
      <c r="C8" s="59" t="inlineStr">
        <is>
          <t>NDA 215256 (supplement)</t>
        </is>
      </c>
      <c r="D8" s="58" t="inlineStr">
        <is>
          <t>Semaglutide</t>
        </is>
      </c>
      <c r="E8" s="58" t="inlineStr">
        <is>
          <t>Novo Nordisk</t>
        </is>
      </c>
      <c r="F8" s="58" t="inlineStr">
        <is>
          <t>Novo Nordisk</t>
        </is>
      </c>
    </row>
    <row r="9" ht="15" customHeight="1" s="48">
      <c r="A9" t="inlineStr">
        <is>
          <t>Apr. 1, 2026</t>
        </is>
      </c>
      <c r="B9" s="54" t="inlineStr">
        <is>
          <t>Foundayo</t>
        </is>
      </c>
      <c r="C9" s="54" t="inlineStr">
        <is>
          <t>NDA 220934</t>
        </is>
      </c>
      <c r="D9" t="inlineStr">
        <is>
          <t>Orforglipron</t>
        </is>
      </c>
      <c r="E9" t="inlineStr">
        <is>
          <t>Eli Lilly</t>
        </is>
      </c>
      <c r="F9" t="inlineStr">
        <is>
          <t>Eli Lilly</t>
        </is>
      </c>
    </row>
    <row r="11" ht="15" customHeight="1" s="48">
      <c r="A11" s="56" t="inlineStr">
        <is>
          <t xml:space="preserve">Ozempic Fact Check Audit </t>
        </is>
      </c>
      <c r="B11" s="82" t="n"/>
      <c r="C11" s="82" t="n"/>
      <c r="D11" s="82" t="n"/>
      <c r="E11" s="82" t="n"/>
      <c r="F11" s="82" t="n"/>
    </row>
    <row r="12" ht="15" customHeight="1" s="48">
      <c r="A12" s="55" t="inlineStr">
        <is>
          <t>Claim</t>
        </is>
      </c>
      <c r="B12" s="55" t="inlineStr">
        <is>
          <t>Verdict</t>
        </is>
      </c>
      <c r="C12" s="55" t="n"/>
      <c r="D12" s="55" t="inlineStr">
        <is>
          <t>Correction</t>
        </is>
      </c>
      <c r="E12" s="51" t="n"/>
      <c r="F12" s="51" t="n"/>
    </row>
    <row r="13" ht="16" customHeight="1" s="48">
      <c r="A13" s="57" t="inlineStr">
        <is>
          <t>Ozempic was approved in 2017</t>
        </is>
      </c>
      <c r="B13" s="58" t="b">
        <v>1</v>
      </c>
      <c r="C13" s="58" t="n"/>
      <c r="D13" s="58" t="inlineStr">
        <is>
          <t>FDA approved Ozempic on December 5, 2017 for improving glycemic control in adults with type 2 diabetes.</t>
        </is>
      </c>
      <c r="E13" s="58" t="n"/>
      <c r="F13" s="58" t="n"/>
    </row>
    <row r="14" ht="30" customHeight="1" s="48">
      <c r="A14" s="42" t="inlineStr">
        <is>
          <t>The original approval included cardiovascular and kidney-risk reduction</t>
        </is>
      </c>
      <c r="B14" t="b">
        <v>0</v>
      </c>
      <c r="D14" t="inlineStr">
        <is>
          <t>These indications were added later, the original approval concerned glycemic control</t>
        </is>
      </c>
    </row>
    <row r="15" ht="31" customHeight="1" s="48">
      <c r="A15" s="57" t="inlineStr">
        <is>
          <t>Novo submitted an obesity sNDA for Ozempic in November 2020</t>
        </is>
      </c>
      <c r="B15" s="58" t="b">
        <v>0</v>
      </c>
      <c r="C15" s="58" t="n"/>
      <c r="D15" s="58" t="inlineStr">
        <is>
          <t>Novo submitted a separate NDA for semaglutide 2.4 mg on December 4, 2020. It was not an Ozempic label expansion.</t>
        </is>
      </c>
      <c r="E15" s="58" t="n"/>
      <c r="F15" s="58" t="n"/>
    </row>
    <row r="16" ht="31" customHeight="1" s="48">
      <c r="A16" s="42" t="inlineStr">
        <is>
          <t>Ozempic received an obesity indication on June 4, 2021</t>
        </is>
      </c>
      <c r="B16" t="b">
        <v>0</v>
      </c>
      <c r="D16" t="inlineStr">
        <is>
          <t>The FDA approved Wegovy on June 4, 2021.</t>
        </is>
      </c>
    </row>
    <row r="17" ht="31" customHeight="1" s="48">
      <c r="A17" s="57" t="inlineStr">
        <is>
          <t>Ozempic is FDA-approved for chronic weight management</t>
        </is>
      </c>
      <c r="B17" s="58" t="b">
        <v>0</v>
      </c>
      <c r="C17" s="58" t="n"/>
      <c r="D17" s="58" t="inlineStr">
        <is>
          <t>Ozempic has never been FDA-approved for obesity in the United States. Its use for weight loss is off-label</t>
        </is>
      </c>
      <c r="E17" s="58" t="n"/>
      <c r="F17" s="58" t="n"/>
    </row>
    <row r="18" ht="31" customHeight="1" s="48">
      <c r="A18" s="42" t="inlineStr">
        <is>
          <t>STEP participants lost 15–20% on average</t>
        </is>
      </c>
      <c r="B18" s="47" t="inlineStr">
        <is>
          <t>OVERSTATED</t>
        </is>
      </c>
      <c r="C18" s="47" t="n"/>
      <c r="D18" t="inlineStr">
        <is>
          <t>In STEP 1, mean weight loss was approximately 14.9% after 68 weeks; some participants lost 20% or more</t>
        </is>
      </c>
    </row>
    <row r="19" ht="15" customHeight="1" s="48">
      <c r="A19" s="57" t="inlineStr">
        <is>
          <t>Patients with diabetes are excluded</t>
        </is>
      </c>
      <c r="B19" s="58" t="b">
        <v>0</v>
      </c>
      <c r="C19" s="58" t="n"/>
      <c r="D19" s="58" t="inlineStr">
        <is>
          <t>Wegovy’s obesity indication can include patients with type 2 diabetes. Wegovy simply is not labeled as a treatment for glycemic control</t>
        </is>
      </c>
      <c r="E19" s="58" t="n"/>
      <c r="F19" s="58" t="n"/>
    </row>
    <row r="21" ht="15" customHeight="1" s="48">
      <c r="A21" s="56" t="inlineStr">
        <is>
          <t>FDA-approved GLP-1 medicines: strengths and maintenance doses</t>
        </is>
      </c>
      <c r="B21" s="82" t="n"/>
      <c r="C21" s="82" t="n"/>
      <c r="D21" s="82" t="n"/>
      <c r="E21" s="82" t="n"/>
      <c r="F21" s="82" t="n"/>
    </row>
    <row r="22" ht="15" customHeight="1" s="48">
      <c r="A22" s="62" t="inlineStr">
        <is>
          <t>FDA approval</t>
        </is>
      </c>
      <c r="B22" s="62" t="inlineStr">
        <is>
          <t>Brand</t>
        </is>
      </c>
      <c r="C22" s="62" t="inlineStr">
        <is>
          <t>Active ingredient</t>
        </is>
      </c>
      <c r="D22" s="62" t="inlineStr">
        <is>
          <t>FDA-approved strengths</t>
        </is>
      </c>
      <c r="E22" s="62" t="inlineStr">
        <is>
          <t>Usual maintenance dose</t>
        </is>
      </c>
      <c r="F22" s="62" t="inlineStr">
        <is>
          <t>Company</t>
        </is>
      </c>
    </row>
    <row r="23" ht="15" customHeight="1" s="48">
      <c r="A23" t="inlineStr">
        <is>
          <t>Dec. 23, 2014</t>
        </is>
      </c>
      <c r="B23" t="inlineStr">
        <is>
          <t>Saxenda</t>
        </is>
      </c>
      <c r="C23" t="inlineStr">
        <is>
          <t>Liraglutide</t>
        </is>
      </c>
      <c r="D23" t="inlineStr">
        <is>
          <t>Pen concentration: 6 mg/mL; selectable doses: 0.6, 1.2, 1.8, 2.4 and 3 mg</t>
        </is>
      </c>
      <c r="E23" t="inlineStr">
        <is>
          <t>3 mg once daily</t>
        </is>
      </c>
      <c r="F23" t="inlineStr">
        <is>
          <t>Novo Nordisk</t>
        </is>
      </c>
    </row>
    <row r="24" ht="27" customHeight="1" s="48">
      <c r="A24" t="inlineStr">
        <is>
          <t>Jun. 4, 2021</t>
        </is>
      </c>
      <c r="B24" t="inlineStr">
        <is>
          <t>Wegovy injection</t>
        </is>
      </c>
      <c r="C24" t="inlineStr">
        <is>
          <t>Semaglutide</t>
        </is>
      </c>
      <c r="D24" s="54" t="inlineStr">
        <is>
          <t>Single-dose pens and single-dose syringes: 0.25 mg/0.5 mL; 0.5 mg/0.5 mL; 1 mg/0.5 mL; 1.7 mg/0.75 mL; 2.4 mg/0.75 mL. FlexTouch single-patient-use pen: 2.4 mg x 4 doses (9.6 mg/3 mL)</t>
        </is>
      </c>
      <c r="E24" t="inlineStr">
        <is>
          <t>2.4 mg once weekly; 1.7 mg may be used in some adults</t>
        </is>
      </c>
      <c r="F24" t="inlineStr">
        <is>
          <t>Novo Nordisk</t>
        </is>
      </c>
    </row>
    <row r="25" ht="15" customHeight="1" s="48">
      <c r="A25" t="inlineStr">
        <is>
          <t>Nov. 8, 2023</t>
        </is>
      </c>
      <c r="B25" t="inlineStr">
        <is>
          <t>Zepbound</t>
        </is>
      </c>
      <c r="C25" t="inlineStr">
        <is>
          <t>Tirzepatide</t>
        </is>
      </c>
      <c r="D25" s="54" t="inlineStr">
        <is>
          <t>2.5, 5, 7.5, 10, 12.5 and 15 mg</t>
        </is>
      </c>
      <c r="E25" t="inlineStr">
        <is>
          <t>5, 10 or 15 mg once weekly</t>
        </is>
      </c>
      <c r="F25" t="inlineStr">
        <is>
          <t>Eli Lilly</t>
        </is>
      </c>
    </row>
    <row r="26" ht="21" customHeight="1" s="48">
      <c r="A26" t="inlineStr">
        <is>
          <t>Dec. 22, 2025</t>
        </is>
      </c>
      <c r="B26" t="inlineStr">
        <is>
          <t>Wegovy tablets</t>
        </is>
      </c>
      <c r="C26" t="inlineStr">
        <is>
          <t>Oral semaglutide</t>
        </is>
      </c>
      <c r="D26" s="54" t="inlineStr">
        <is>
          <t>1.5, 4, 9 and 25 mg tablets</t>
        </is>
      </c>
      <c r="E26" t="inlineStr">
        <is>
          <t>25 mg once daily</t>
        </is>
      </c>
      <c r="F26" t="inlineStr">
        <is>
          <t>Novo Nordisk</t>
        </is>
      </c>
    </row>
    <row r="27" ht="23" customHeight="1" s="48">
      <c r="A27" t="inlineStr">
        <is>
          <t>Mar. 19, 2026</t>
        </is>
      </c>
      <c r="B27" t="inlineStr">
        <is>
          <t>Wegovy HD</t>
        </is>
      </c>
      <c r="C27" t="inlineStr">
        <is>
          <t>Semaglutide</t>
        </is>
      </c>
      <c r="D27" s="54" t="inlineStr">
        <is>
          <t>7.2 mg/0.75 mL single-dose pen</t>
        </is>
      </c>
      <c r="E27" s="60" t="inlineStr">
        <is>
          <t>7.2 mg once weekly in eligible adults requiring additional weight reduction</t>
        </is>
      </c>
      <c r="F27" t="inlineStr">
        <is>
          <t>Novo Nordisk</t>
        </is>
      </c>
    </row>
    <row r="28" ht="15" customHeight="1" s="48">
      <c r="A28" t="inlineStr">
        <is>
          <t>Apr. 1, 2026</t>
        </is>
      </c>
      <c r="B28" t="inlineStr">
        <is>
          <t>Foundayo</t>
        </is>
      </c>
      <c r="C28" t="inlineStr">
        <is>
          <t>Orforglipron</t>
        </is>
      </c>
      <c r="D28" s="54" t="inlineStr">
        <is>
          <t>0.8, 2.5, 5.5, 9, 14.5 and 17.2 mg tablets</t>
        </is>
      </c>
      <c r="E28" t="inlineStr">
        <is>
          <t>Individualized; maximum 17.2 mg once daily</t>
        </is>
      </c>
      <c r="F28" t="inlineStr">
        <is>
          <t>Eli Lilly</t>
        </is>
      </c>
    </row>
    <row r="30" ht="15" customHeight="1" s="48">
      <c r="A30" s="66" t="inlineStr">
        <is>
          <t>Approved Medicines (Zepbound)</t>
        </is>
      </c>
      <c r="B30" s="67" t="n"/>
      <c r="C30" s="67" t="n"/>
    </row>
    <row r="31" ht="15" customHeight="1" s="48">
      <c r="A31" s="63" t="inlineStr">
        <is>
          <t>Presentation</t>
        </is>
      </c>
      <c r="B31" s="63" t="inlineStr">
        <is>
          <t>Available dose per injection</t>
        </is>
      </c>
      <c r="C31" s="63" t="inlineStr">
        <is>
          <t>Package contents</t>
        </is>
      </c>
    </row>
    <row r="32" ht="15" customHeight="1" s="48">
      <c r="A32" s="64" t="inlineStr">
        <is>
          <t>Single-dose pen</t>
        </is>
      </c>
      <c r="B32" s="65" t="inlineStr">
        <is>
          <t>2.5, 5, 7.5, 10, 12.5 or 15 mg per 0.5 mL</t>
        </is>
      </c>
      <c r="C32" s="64" t="inlineStr">
        <is>
          <t>Usually four weekly pens</t>
        </is>
      </c>
    </row>
    <row r="33" ht="15" customHeight="1" s="48">
      <c r="A33" t="inlineStr">
        <is>
          <t>Single-dose vial</t>
        </is>
      </c>
      <c r="B33" s="54" t="inlineStr">
        <is>
          <t>2.5, 5, 7.5, 10, 12.5 or 15 mg per 0.5 mL</t>
        </is>
      </c>
      <c r="C33" t="inlineStr">
        <is>
          <t>One dose per vial</t>
        </is>
      </c>
    </row>
    <row r="34" ht="15" customHeight="1" s="48">
      <c r="A34" s="64" t="inlineStr">
        <is>
          <t>Multidose vial</t>
        </is>
      </c>
      <c r="B34" s="65" t="inlineStr">
        <is>
          <t>2.5, 5, 7.5, 10, 12.5 or 15 mg per 0.6 mL</t>
        </is>
      </c>
      <c r="C34" s="64" t="inlineStr">
        <is>
          <t>Four weekly doses; on FDA label, commercial availability not confirmed as of Sep 2026</t>
        </is>
      </c>
    </row>
    <row r="35" ht="15" customHeight="1" s="48">
      <c r="A35" t="inlineStr">
        <is>
          <t>KwikPen</t>
        </is>
      </c>
      <c r="B35" s="54" t="inlineStr">
        <is>
          <t>2.5, 5, 7.5, 10, 12.5 or 15 mg per 0.6 mL</t>
        </is>
      </c>
      <c r="C35" t="inlineStr">
        <is>
          <t>Four weekly doses</t>
        </is>
      </c>
    </row>
  </sheetData>
  <mergeCells count="1">
    <mergeCell ref="A1:O1"/>
  </mergeCells>
  <pageMargins left="0.7" right="0.7" top="0.75" bottom="0.75" header="0.3" footer="0.3"/>
  <pageSetup orientation="portrait" horizontalDpi="0" verticalDpi="0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Pr>
    <tabColor rgb="FF00A6C8"/>
    <outlinePr summaryBelow="1" summaryRight="1"/>
    <pageSetUpPr/>
  </sheetPr>
  <dimension ref="A1:N29"/>
  <sheetViews>
    <sheetView showGridLines="0" topLeftCell="B1" zoomScale="118" workbookViewId="0">
      <pane ySplit="5" topLeftCell="A15" activePane="bottomLeft" state="frozen"/>
      <selection pane="bottomLeft" activeCell="A9" sqref="A9:XFD9"/>
    </sheetView>
  </sheetViews>
  <sheetFormatPr baseColWidth="10" defaultColWidth="8.83203125" defaultRowHeight="14"/>
  <cols>
    <col width="16" customWidth="1" style="48" min="1" max="1"/>
    <col width="28" customWidth="1" style="48" min="2" max="2"/>
    <col width="27.5" customWidth="1" style="48" min="3" max="3"/>
    <col width="17" customWidth="1" style="48" min="4" max="4"/>
    <col width="15" customWidth="1" style="48" min="5" max="7"/>
    <col width="38" customWidth="1" style="48" min="8" max="8"/>
    <col width="3" customWidth="1" style="48" min="9" max="9"/>
    <col width="18" customWidth="1" style="48" min="10" max="10"/>
    <col width="14" customWidth="1" style="48" min="11" max="12"/>
    <col width="4" customWidth="1" style="48" min="13" max="14"/>
  </cols>
  <sheetData>
    <row r="1" ht="30" customHeight="1" s="48">
      <c r="A1" s="37" t="inlineStr">
        <is>
          <t>U.S. Branded GLP-1 Price Observatory (for Obesity)</t>
        </is>
      </c>
    </row>
    <row r="2" ht="34" customHeight="1" s="48">
      <c r="A2" s="38" t="inlineStr">
        <is>
          <t>Public, dated observations through 2026-09-10. Event-based, not a claim of complete daily/monthly transaction prices. Future announced prices are labeled.</t>
        </is>
      </c>
    </row>
    <row r="4" ht="22" customHeight="1" s="48">
      <c r="A4" s="39" t="inlineStr">
        <is>
          <t>Current public price comparison</t>
        </is>
      </c>
    </row>
    <row r="5" ht="30" customHeight="1" s="48">
      <c r="A5" s="78" t="inlineStr">
        <is>
          <t>Product</t>
        </is>
      </c>
      <c r="B5" s="78" t="inlineStr">
        <is>
          <t>Presentation</t>
        </is>
      </c>
      <c r="C5" s="78" t="inlineStr">
        <is>
          <t>Current WAC / list</t>
        </is>
      </c>
      <c r="D5" s="78" t="inlineStr">
        <is>
          <t>Current direct cash</t>
        </is>
      </c>
      <c r="E5" s="78" t="inlineStr">
        <is>
          <t>Dollar gap</t>
        </is>
      </c>
      <c r="F5" s="78" t="inlineStr">
        <is>
          <t>Direct cash / WAC</t>
        </is>
      </c>
      <c r="G5" s="78" t="inlineStr">
        <is>
          <t>Source</t>
        </is>
      </c>
      <c r="H5" s="78" t="inlineStr">
        <is>
          <t>Qualification</t>
        </is>
      </c>
      <c r="J5" s="79" t="inlineStr">
        <is>
          <t>Product</t>
        </is>
      </c>
      <c r="K5" s="79" t="inlineStr">
        <is>
          <t>WAC</t>
        </is>
      </c>
      <c r="L5" s="79" t="inlineStr">
        <is>
          <t>Direct cash</t>
        </is>
      </c>
    </row>
    <row r="6">
      <c r="A6" s="43" t="inlineStr">
        <is>
          <t>Wegovy</t>
        </is>
      </c>
      <c r="B6" s="43" t="inlineStr">
        <is>
          <t>Injection 0.25-2.4 mg</t>
        </is>
      </c>
      <c r="C6" s="21" t="n">
        <v>1349.02</v>
      </c>
      <c r="D6" s="21" t="n">
        <v>349</v>
      </c>
      <c r="E6" s="21">
        <f>IF(OR(C6="",D6=""),"",C6-D6)</f>
        <v/>
      </c>
      <c r="F6" s="23">
        <f>IF(OR(C6="",D6=""),"",D6/C6)</f>
        <v/>
      </c>
      <c r="G6" s="43" t="inlineStr">
        <is>
          <t>S02 / S16</t>
        </is>
      </c>
      <c r="H6" s="43" t="inlineStr">
        <is>
          <t>Current WAC vs current self-pay</t>
        </is>
      </c>
      <c r="J6" t="inlineStr">
        <is>
          <t>Wegovy</t>
        </is>
      </c>
      <c r="K6" s="26" t="n">
        <v>1349.02</v>
      </c>
      <c r="L6" s="26" t="n">
        <v>349</v>
      </c>
    </row>
    <row r="7">
      <c r="A7" s="45" t="inlineStr">
        <is>
          <t>Wegovy HD</t>
        </is>
      </c>
      <c r="B7" s="45" t="inlineStr">
        <is>
          <t>7.2 mg injection</t>
        </is>
      </c>
      <c r="C7" s="22" t="n">
        <v>1349.02</v>
      </c>
      <c r="D7" s="22" t="n">
        <v>399</v>
      </c>
      <c r="E7" s="22">
        <f>IF(OR(C7="",D7=""),"",C7-D7)</f>
        <v/>
      </c>
      <c r="F7" s="24">
        <f>IF(OR(C7="",D7=""),"",D7/C7)</f>
        <v/>
      </c>
      <c r="G7" s="45" t="inlineStr">
        <is>
          <t>S02 / S16</t>
        </is>
      </c>
      <c r="H7" s="45" t="inlineStr">
        <is>
          <t>Current WAC vs current self-pay</t>
        </is>
      </c>
      <c r="J7" t="inlineStr">
        <is>
          <t>Wegovy HD</t>
        </is>
      </c>
      <c r="K7" s="26" t="n">
        <v>1349.02</v>
      </c>
      <c r="L7" s="26" t="n">
        <v>399</v>
      </c>
    </row>
    <row r="8">
      <c r="A8" s="43" t="inlineStr">
        <is>
          <t>Wegovy tablets</t>
        </is>
      </c>
      <c r="B8" s="43" t="inlineStr">
        <is>
          <t>1.5 mg tablet</t>
        </is>
      </c>
      <c r="C8" s="21" t="n">
        <v>1349.02</v>
      </c>
      <c r="D8" s="21" t="n">
        <v>149</v>
      </c>
      <c r="E8" s="21">
        <f>IF(OR(C8="",D8=""),"",C8-D8)</f>
        <v/>
      </c>
      <c r="F8" s="23">
        <f>IF(OR(C8="",D8=""),"",D8/C8)</f>
        <v/>
      </c>
      <c r="G8" s="43" t="inlineStr">
        <is>
          <t>S02 / S16</t>
        </is>
      </c>
      <c r="H8" s="43" t="inlineStr">
        <is>
          <t>Same WAC across tablet doses; cash tier varies</t>
        </is>
      </c>
      <c r="J8" t="inlineStr">
        <is>
          <t>Wegovy tablets</t>
        </is>
      </c>
      <c r="K8" s="26" t="n">
        <v>1349.02</v>
      </c>
      <c r="L8" s="26" t="n">
        <v>149</v>
      </c>
    </row>
    <row r="9">
      <c r="A9" s="43" t="inlineStr">
        <is>
          <t>Zepbound</t>
        </is>
      </c>
      <c r="B9" s="43" t="inlineStr">
        <is>
          <t>Pen WAC vs 2.5 mg vial/KwikPen</t>
        </is>
      </c>
      <c r="C9" s="21" t="n">
        <v>1086.37</v>
      </c>
      <c r="D9" s="21" t="n">
        <v>299</v>
      </c>
      <c r="E9" s="21">
        <f>IF(OR(C9="",D9=""),"",C9-D9)</f>
        <v/>
      </c>
      <c r="F9" s="23">
        <f>IF(OR(C9="",D9=""),"",D9/C9)</f>
        <v/>
      </c>
      <c r="G9" s="43" t="inlineStr">
        <is>
          <t>S17 / S10</t>
        </is>
      </c>
      <c r="H9" s="43" t="inlineStr">
        <is>
          <t>Different presentations; comparison is directional</t>
        </is>
      </c>
      <c r="J9" t="inlineStr">
        <is>
          <t>Zepbound</t>
        </is>
      </c>
      <c r="K9" s="26" t="n">
        <v>1086.37</v>
      </c>
      <c r="L9" s="26" t="n">
        <v>299</v>
      </c>
    </row>
    <row r="10">
      <c r="A10" s="43" t="inlineStr">
        <is>
          <t>Saxenda</t>
        </is>
      </c>
      <c r="B10" s="43" t="inlineStr">
        <is>
          <t>5-pen package</t>
        </is>
      </c>
      <c r="C10" s="21" t="n">
        <v>1349.02</v>
      </c>
      <c r="D10" s="21" t="n"/>
      <c r="E10" s="21">
        <f>IF(OR(C10="",D10=""),"",C10-D10)</f>
        <v/>
      </c>
      <c r="F10" s="23">
        <f>IF(OR(C10="",D10=""),"",D10/C10)</f>
        <v/>
      </c>
      <c r="G10" s="43" t="inlineStr">
        <is>
          <t>S06</t>
        </is>
      </c>
      <c r="H10" s="43" t="inlineStr">
        <is>
          <t>No manufacturer self-pay channel; savings card requires commercial coverage</t>
        </is>
      </c>
      <c r="K10" s="26" t="n"/>
      <c r="L10" s="26" t="n"/>
    </row>
    <row r="11">
      <c r="A11" s="45" t="inlineStr">
        <is>
          <t>Foundayo</t>
        </is>
      </c>
      <c r="B11" s="45" t="inlineStr">
        <is>
          <t>Lowest-dose tablet</t>
        </is>
      </c>
      <c r="C11" s="22" t="n"/>
      <c r="D11" s="22" t="n">
        <v>149</v>
      </c>
      <c r="E11" s="22">
        <f>IF(OR(C11="",D11=""),"",C11-D11)</f>
        <v/>
      </c>
      <c r="F11" s="24">
        <f>IF(OR(C11="",D11=""),"",D11/C11)</f>
        <v/>
      </c>
      <c r="G11" s="45" t="inlineStr">
        <is>
          <t>S19</t>
        </is>
      </c>
      <c r="H11" s="45" t="inlineStr">
        <is>
          <t>Public cash range $149-$349; WAC not entered</t>
        </is>
      </c>
      <c r="K11" s="26" t="n"/>
      <c r="L11" s="26" t="n"/>
    </row>
    <row r="14" ht="22" customHeight="1" s="48">
      <c r="A14" s="39" t="inlineStr">
        <is>
          <t>How to read this workbook</t>
        </is>
      </c>
    </row>
    <row r="15" ht="15" customHeight="1" s="48">
      <c r="A15" s="27" t="inlineStr">
        <is>
          <t>WAC/list</t>
        </is>
      </c>
      <c r="B15" s="36" t="inlineStr">
        <is>
          <t>Manufacturer-to-wholesaler benchmark before rebates; not what most insured patients pay.</t>
        </is>
      </c>
      <c r="C15" s="84" t="n"/>
      <c r="D15" s="84" t="n"/>
      <c r="E15" s="84" t="n"/>
      <c r="F15" s="84" t="n"/>
      <c r="G15" s="84" t="n"/>
      <c r="H15" s="85" t="n"/>
    </row>
    <row r="16" ht="15" customHeight="1" s="48">
      <c r="A16" s="27" t="inlineStr">
        <is>
          <t>Direct cash</t>
        </is>
      </c>
      <c r="B16" s="36" t="inlineStr">
        <is>
          <t>Manufacturer cash-pay channel price; may use a different device/presentation from the WAC comparator.</t>
        </is>
      </c>
      <c r="C16" s="84" t="n"/>
      <c r="D16" s="84" t="n"/>
      <c r="E16" s="84" t="n"/>
      <c r="F16" s="84" t="n"/>
      <c r="G16" s="84" t="n"/>
      <c r="H16" s="85" t="n"/>
    </row>
    <row r="17" ht="15" customHeight="1" s="48">
      <c r="A17" s="27" t="inlineStr">
        <is>
          <t>Savings offer</t>
        </is>
      </c>
      <c r="B17" s="36" t="inlineStr">
        <is>
          <t>Conditional minimum patient payment; eligibility, coverage and annual/monthly caps matter.</t>
        </is>
      </c>
      <c r="C17" s="84" t="n"/>
      <c r="D17" s="84" t="n"/>
      <c r="E17" s="84" t="n"/>
      <c r="F17" s="84" t="n"/>
      <c r="G17" s="84" t="n"/>
      <c r="H17" s="85" t="n"/>
    </row>
    <row r="18" ht="15" customHeight="1" s="48">
      <c r="A18" s="27" t="inlineStr">
        <is>
          <t>Realized/net</t>
        </is>
      </c>
      <c r="B18" s="36" t="inlineStr">
        <is>
          <t>Manufacturer revenue after relevant concessions; generally not disclosed as exact product-level dollars.</t>
        </is>
      </c>
      <c r="C18" s="84" t="n"/>
      <c r="D18" s="84" t="n"/>
      <c r="E18" s="84" t="n"/>
      <c r="F18" s="84" t="n"/>
      <c r="G18" s="84" t="n"/>
      <c r="H18" s="85" t="n"/>
    </row>
    <row r="19" ht="15" customHeight="1" s="48">
      <c r="A19" s="27" t="inlineStr">
        <is>
          <t>Missing</t>
        </is>
      </c>
      <c r="B19" s="36" t="inlineStr">
        <is>
          <t>Blank means no sufficiently sourced numeric observation was entered: not zero.</t>
        </is>
      </c>
      <c r="C19" s="84" t="n"/>
      <c r="D19" s="84" t="n"/>
      <c r="E19" s="84" t="n"/>
      <c r="F19" s="84" t="n"/>
      <c r="G19" s="84" t="n"/>
      <c r="H19" s="85" t="n"/>
    </row>
    <row r="20" ht="15" customHeight="1" s="48">
      <c r="A20" s="27" t="inlineStr">
        <is>
          <t>Future</t>
        </is>
      </c>
      <c r="B20" s="36" t="inlineStr">
        <is>
          <t>Announced values after the 2026-10-07 data refresh are retained but marked not yet effective.</t>
        </is>
      </c>
      <c r="C20" s="84" t="n"/>
      <c r="D20" s="84" t="n"/>
      <c r="E20" s="84" t="n"/>
      <c r="F20" s="84" t="n"/>
      <c r="G20" s="84" t="n"/>
      <c r="H20" s="85" t="n"/>
    </row>
    <row r="22">
      <c r="A22" s="39" t="inlineStr">
        <is>
          <t>FDA approval dates for obesity</t>
        </is>
      </c>
    </row>
    <row r="23">
      <c r="A23" s="81" t="inlineStr">
        <is>
          <t>Product</t>
        </is>
      </c>
      <c r="B23" s="81" t="inlineStr">
        <is>
          <t>Presentation</t>
        </is>
      </c>
      <c r="C23" s="81" t="inlineStr">
        <is>
          <t>Approval Date</t>
        </is>
      </c>
      <c r="D23" s="81" t="inlineStr">
        <is>
          <t>Current direct cash</t>
        </is>
      </c>
      <c r="E23" s="81" t="n"/>
      <c r="F23" s="81" t="n"/>
      <c r="G23" s="81" t="inlineStr">
        <is>
          <t>Source</t>
        </is>
      </c>
      <c r="H23" s="81" t="inlineStr">
        <is>
          <t>Approval source</t>
        </is>
      </c>
      <c r="I23" s="82" t="n"/>
      <c r="J23" s="25" t="n"/>
      <c r="K23" s="25" t="n"/>
      <c r="L23" s="25" t="n"/>
    </row>
    <row r="24" ht="52" customHeight="1" s="48">
      <c r="A24" s="43" t="inlineStr">
        <is>
          <t>Wegovy</t>
        </is>
      </c>
      <c r="B24" s="43" t="inlineStr">
        <is>
          <t>Injection 0.25-2.4 mg</t>
        </is>
      </c>
      <c r="C24" s="86" t="n">
        <v>44351</v>
      </c>
      <c r="D24" s="21" t="n">
        <v>349</v>
      </c>
      <c r="E24" s="21" t="n"/>
      <c r="F24" s="23" t="n"/>
      <c r="G24" s="43" t="inlineStr">
        <is>
          <t>S02 / S16</t>
        </is>
      </c>
      <c r="H24" s="43" t="inlineStr">
        <is>
          <t>https://www.biospace.com/novo-nordisk-receives-fda-approval-for-wegovy-to-treat-adults-with-obesity-based-on-unprecedented-efficacy-for-a-prescription-medicine-in-clinical-trials</t>
        </is>
      </c>
      <c r="K24" s="26" t="n"/>
      <c r="L24" s="26" t="n"/>
    </row>
    <row r="25">
      <c r="A25" s="45" t="inlineStr">
        <is>
          <t>Wegovy HD</t>
        </is>
      </c>
      <c r="B25" s="45" t="inlineStr">
        <is>
          <t>7.2 mg injection</t>
        </is>
      </c>
      <c r="C25" s="87" t="n">
        <v>46100</v>
      </c>
      <c r="D25" s="22" t="n">
        <v>399</v>
      </c>
      <c r="E25" s="22" t="n"/>
      <c r="F25" s="24" t="n"/>
      <c r="G25" s="45" t="inlineStr">
        <is>
          <t>S02 / S16</t>
        </is>
      </c>
      <c r="H25" s="45" t="inlineStr">
        <is>
          <t>https://www.fda.gov/news-events/press-announcements/fda-approves-fourth-product-under-national-priority-voucher-program-higher-dose-semaglutide</t>
        </is>
      </c>
      <c r="K25" s="26" t="n"/>
      <c r="L25" s="26" t="n"/>
    </row>
    <row r="26">
      <c r="A26" s="43" t="inlineStr">
        <is>
          <t>Wegovy tablets</t>
        </is>
      </c>
      <c r="B26" s="43" t="inlineStr">
        <is>
          <t>1.5 mg tablet</t>
        </is>
      </c>
      <c r="C26" s="86" t="n">
        <v>46013</v>
      </c>
      <c r="D26" s="21" t="n">
        <v>149</v>
      </c>
      <c r="E26" s="21" t="n"/>
      <c r="F26" s="23" t="n"/>
      <c r="G26" s="43" t="inlineStr">
        <is>
          <t>S02 / S16</t>
        </is>
      </c>
      <c r="H26" s="43" t="inlineStr">
        <is>
          <t>https://www.novonordisk.com/news-and-media/news-and-ir-materials/news-details.html?id=916472</t>
        </is>
      </c>
      <c r="K26" s="26" t="n"/>
      <c r="L26" s="26" t="n"/>
    </row>
    <row r="27" ht="39" customHeight="1" s="48">
      <c r="A27" s="43" t="inlineStr">
        <is>
          <t>Zepbound</t>
        </is>
      </c>
      <c r="B27" s="43" t="inlineStr">
        <is>
          <t>Pen WAC vs 2.5 mg vial/KwikPen</t>
        </is>
      </c>
      <c r="C27" s="86" t="n">
        <v>45238</v>
      </c>
      <c r="D27" s="21" t="n">
        <v>299</v>
      </c>
      <c r="E27" s="21" t="n"/>
      <c r="F27" s="23" t="n"/>
      <c r="G27" s="43" t="inlineStr">
        <is>
          <t>S17 / S10</t>
        </is>
      </c>
      <c r="H27" s="43" t="inlineStr">
        <is>
          <t>https://www.fda.gov/news-events/press-announcements/fda-approves-new-medication-chronic-weight-management</t>
        </is>
      </c>
      <c r="K27" s="26" t="n"/>
      <c r="L27" s="26" t="n"/>
    </row>
    <row r="28">
      <c r="A28" s="43" t="inlineStr">
        <is>
          <t>Saxenda</t>
        </is>
      </c>
      <c r="B28" s="43" t="inlineStr">
        <is>
          <t>5-pen package</t>
        </is>
      </c>
      <c r="C28" s="86" t="n">
        <v>41996</v>
      </c>
      <c r="D28" s="21" t="n"/>
      <c r="E28" s="21" t="n"/>
      <c r="F28" s="23" t="n"/>
      <c r="G28" s="43" t="inlineStr">
        <is>
          <t>S06</t>
        </is>
      </c>
      <c r="H28" s="43" t="inlineStr">
        <is>
          <t>https://ajmc.com/view/liraglutide-approved-under-new-name-to-treat-obesity</t>
        </is>
      </c>
      <c r="K28" s="26" t="n"/>
      <c r="L28" s="26" t="n"/>
    </row>
    <row r="29">
      <c r="A29" s="45" t="inlineStr">
        <is>
          <t>Foundayo</t>
        </is>
      </c>
      <c r="B29" s="45" t="inlineStr">
        <is>
          <t>Lowest-dose tablet</t>
        </is>
      </c>
      <c r="C29" s="86" t="n">
        <v>46113</v>
      </c>
      <c r="D29" s="22" t="n">
        <v>149</v>
      </c>
      <c r="E29" s="22" t="n"/>
      <c r="F29" s="24" t="n"/>
      <c r="G29" s="45" t="inlineStr">
        <is>
          <t>S19</t>
        </is>
      </c>
      <c r="H29" s="45" t="inlineStr">
        <is>
          <t>https://www.fda.gov/news-events/press-announcements/fda-approves-first-new-molecular-entity-under-national-priority-voucher-program</t>
        </is>
      </c>
      <c r="K29" s="26" t="n"/>
      <c r="L29" s="26" t="n"/>
    </row>
  </sheetData>
  <mergeCells count="11">
    <mergeCell ref="B17:H17"/>
    <mergeCell ref="A22:N22"/>
    <mergeCell ref="B18:H18"/>
    <mergeCell ref="A4:N4"/>
    <mergeCell ref="A2:N2"/>
    <mergeCell ref="B16:H16"/>
    <mergeCell ref="A14:H14"/>
    <mergeCell ref="B15:H15"/>
    <mergeCell ref="B19:H19"/>
    <mergeCell ref="B20:H20"/>
    <mergeCell ref="A1:N1"/>
  </mergeCells>
  <pageMargins left="0.7" right="0.7" top="0.75" bottom="0.75" header="0.3" footer="0.3"/>
  <drawing xmlns:r="http://schemas.openxmlformats.org/officeDocument/2006/relationships" r:id="rId1"/>
  <drawing r:id="rIdDrw1"/>
</worksheet>
</file>

<file path=xl/worksheets/sheet3.xml><?xml version="1.0" encoding="utf-8"?>
<worksheet xmlns="http://schemas.openxmlformats.org/spreadsheetml/2006/main">
  <sheetPr>
    <tabColor rgb="FF5C6B73"/>
    <outlinePr summaryBelow="1" summaryRight="1"/>
    <pageSetUpPr/>
  </sheetPr>
  <dimension ref="A1:T102"/>
  <sheetViews>
    <sheetView showGridLines="0" zoomScale="5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B6" sqref="B6"/>
    </sheetView>
  </sheetViews>
  <sheetFormatPr baseColWidth="10" defaultColWidth="8.83203125" defaultRowHeight="14"/>
  <cols>
    <col width="22" customWidth="1" style="48" min="1" max="1"/>
    <col width="12" customWidth="1" style="48" min="2" max="2"/>
    <col width="18" customWidth="1" style="48" min="3" max="9"/>
    <col width="22" customWidth="1" style="48" min="10" max="10"/>
    <col width="18" customWidth="1" style="48" min="11" max="16"/>
    <col width="14" customWidth="1" style="48" min="17" max="17"/>
    <col width="42" customWidth="1" style="48" min="18" max="19"/>
    <col width="64" customWidth="1" style="48" min="20" max="20"/>
  </cols>
  <sheetData>
    <row r="1">
      <c r="A1" s="76" t="n"/>
      <c r="B1" s="76" t="n"/>
      <c r="C1" s="76" t="n"/>
      <c r="D1" s="76" t="n"/>
      <c r="E1" s="76" t="n"/>
      <c r="F1" s="76" t="n"/>
      <c r="G1" s="76" t="n"/>
      <c r="H1" s="76" t="n"/>
      <c r="I1" s="76" t="n"/>
      <c r="J1" s="76" t="n"/>
      <c r="K1" s="76" t="n"/>
      <c r="L1" s="76" t="n"/>
      <c r="M1" s="76" t="n"/>
      <c r="N1" s="76" t="n"/>
      <c r="O1" s="76" t="n"/>
      <c r="P1" s="76" t="n"/>
      <c r="Q1" s="76" t="n"/>
      <c r="R1" s="76" t="n"/>
      <c r="S1" s="76" t="n"/>
      <c r="T1" s="76" t="n"/>
    </row>
    <row r="2" ht="20" customHeight="1" s="48">
      <c r="A2" s="77" t="inlineStr">
        <is>
          <t>Telehealth tirzepatide prices by provider and dose</t>
        </is>
      </c>
      <c r="B2" s="76" t="n"/>
      <c r="C2" s="76" t="n"/>
      <c r="D2" s="76" t="n"/>
      <c r="E2" s="76" t="n"/>
      <c r="F2" s="76" t="n"/>
      <c r="G2" s="76" t="n"/>
      <c r="H2" s="76" t="n"/>
      <c r="I2" s="76" t="n"/>
      <c r="J2" s="76" t="n"/>
      <c r="K2" s="76" t="n"/>
      <c r="L2" s="76" t="n"/>
      <c r="M2" s="76" t="n"/>
      <c r="N2" s="76" t="n"/>
      <c r="O2" s="76" t="n"/>
      <c r="P2" s="76" t="n"/>
      <c r="Q2" s="76" t="n"/>
      <c r="R2" s="76" t="n"/>
      <c r="S2" s="76" t="n"/>
      <c r="T2" s="76" t="n"/>
    </row>
    <row r="3">
      <c r="A3" s="75" t="inlineStr">
        <is>
          <t>all_in_monthly means medication plus any mandatory recurring fee at the named dose, before tax and before prepaid discounts</t>
        </is>
      </c>
      <c r="B3" s="76" t="n"/>
      <c r="C3" s="76" t="n"/>
      <c r="D3" s="76" t="n"/>
      <c r="E3" s="76" t="n"/>
      <c r="F3" s="76" t="n"/>
      <c r="G3" s="76" t="n"/>
      <c r="H3" s="76" t="n"/>
      <c r="I3" s="76" t="n"/>
      <c r="J3" s="76" t="n"/>
      <c r="K3" s="76" t="n"/>
      <c r="L3" s="76" t="n"/>
      <c r="M3" s="76" t="n"/>
      <c r="N3" s="76" t="n"/>
      <c r="O3" s="76" t="n"/>
      <c r="P3" s="76" t="n"/>
      <c r="Q3" s="76" t="n"/>
      <c r="R3" s="76" t="n"/>
      <c r="S3" s="76" t="n"/>
      <c r="T3" s="76" t="n"/>
    </row>
    <row r="4">
      <c r="A4" s="76" t="n"/>
      <c r="B4" s="76" t="n"/>
      <c r="C4" s="76" t="n"/>
      <c r="D4" s="76" t="n"/>
      <c r="E4" s="76" t="n"/>
      <c r="F4" s="76" t="n"/>
      <c r="G4" s="76" t="n"/>
      <c r="H4" s="76" t="n"/>
      <c r="I4" s="76" t="n"/>
      <c r="J4" s="76" t="n"/>
      <c r="K4" s="76" t="n"/>
      <c r="L4" s="76" t="n"/>
      <c r="M4" s="76" t="n"/>
      <c r="N4" s="76" t="n"/>
      <c r="O4" s="76" t="n"/>
      <c r="P4" s="76" t="n"/>
      <c r="Q4" s="76" t="n"/>
      <c r="R4" s="76" t="n"/>
      <c r="S4" s="76" t="n"/>
      <c r="T4" s="76" t="n"/>
    </row>
    <row r="5" ht="34" customHeight="1" s="48">
      <c r="A5" s="1" t="inlineStr">
        <is>
          <t>Provider</t>
        </is>
      </c>
      <c r="B5" s="2" t="inlineStr">
        <is>
          <t>Dose (mg)</t>
        </is>
      </c>
      <c r="C5" s="2" t="inlineStr">
        <is>
          <t>All-in monthly (USD)</t>
        </is>
      </c>
      <c r="D5" s="2" t="inlineStr">
        <is>
          <t>Annualized (USD)</t>
        </is>
      </c>
      <c r="E5" s="2" t="inlineStr">
        <is>
          <t>USD per mg (4-week month)</t>
        </is>
      </c>
      <c r="F5" s="2" t="inlineStr">
        <is>
          <t>Starting dose monthly</t>
        </is>
      </c>
      <c r="G5" s="2" t="inlineStr">
        <is>
          <t>First-year total</t>
        </is>
      </c>
      <c r="H5" s="2" t="inlineStr">
        <is>
          <t>Membership monthly</t>
        </is>
      </c>
      <c r="I5" s="2" t="inlineStr">
        <is>
          <t>Prepaid monthly</t>
        </is>
      </c>
      <c r="J5" s="2" t="inlineStr">
        <is>
          <t>Prepaid term</t>
        </is>
      </c>
      <c r="K5" s="2" t="inlineStr">
        <is>
          <t>Pricing model</t>
        </is>
      </c>
      <c r="L5" s="2" t="inlineStr">
        <is>
          <t>Structure</t>
        </is>
      </c>
      <c r="M5" s="2" t="inlineStr">
        <is>
          <t>Evidence status</t>
        </is>
      </c>
      <c r="N5" s="2" t="inlineStr">
        <is>
          <t>Disclosure score</t>
        </is>
      </c>
      <c r="O5" s="2" t="inlineStr">
        <is>
          <t>Pharmacy named</t>
        </is>
      </c>
      <c r="P5" s="2" t="inlineStr">
        <is>
          <t>Pharmacy disclosure</t>
        </is>
      </c>
      <c r="Q5" s="2" t="inlineStr">
        <is>
          <t>Captured</t>
        </is>
      </c>
      <c r="R5" s="2" t="inlineStr">
        <is>
          <t>Source URL</t>
        </is>
      </c>
      <c r="S5" s="2" t="inlineStr">
        <is>
          <t>Archive URL</t>
        </is>
      </c>
      <c r="T5" s="3" t="inlineStr">
        <is>
          <t>Terms and cautions</t>
        </is>
      </c>
    </row>
    <row r="6" ht="42" customHeight="1" s="48">
      <c r="A6" s="11" t="inlineStr">
        <is>
          <t>NexLife</t>
        </is>
      </c>
      <c r="B6" s="11" t="n">
        <v>2.5</v>
      </c>
      <c r="C6" s="6" t="n">
        <v>215</v>
      </c>
      <c r="D6" s="6">
        <f>C6*12</f>
        <v/>
      </c>
      <c r="E6" s="6">
        <f>IF(C6="","",C6/(B6*4))</f>
        <v/>
      </c>
      <c r="F6" s="6" t="n">
        <v>215</v>
      </c>
      <c r="G6" s="6" t="n">
        <v>2580</v>
      </c>
      <c r="H6" s="6" t="n">
        <v>0</v>
      </c>
      <c r="I6" s="6" t="n">
        <v>186</v>
      </c>
      <c r="J6" s="11" t="inlineStr">
        <is>
          <t>12-month plan</t>
        </is>
      </c>
      <c r="K6" s="11" t="inlineStr">
        <is>
          <t>flat</t>
        </is>
      </c>
      <c r="L6" s="11" t="inlineStr">
        <is>
          <t>all-in</t>
        </is>
      </c>
      <c r="M6" s="11" t="inlineStr">
        <is>
          <t>source-verified</t>
        </is>
      </c>
      <c r="N6" s="13" t="n">
        <v>100</v>
      </c>
      <c r="O6" s="11" t="b">
        <v>1</v>
      </c>
      <c r="P6" s="11" t="inlineStr">
        <is>
          <t>6 named partners</t>
        </is>
      </c>
      <c r="Q6" s="15" t="n">
        <v>46239</v>
      </c>
      <c r="R6" s="11" t="inlineStr">
        <is>
          <t>https://nexlife.us/pages/tirzepatide-all-plans</t>
        </is>
      </c>
      <c r="S6" s="11" t="inlineStr">
        <is>
          <t>https://web.archive.org/web/*/https://nexlife.us/pages/tirzepatide-all-plans</t>
        </is>
      </c>
      <c r="T6" s="8" t="inlineStr">
        <is>
          <t>None we could identify. $215 is the standing monthly rate, flat across the full 2.5-15 mg ladder, with no membership and no promotional entry price. Six partner pharmacies are named before purchase.</t>
        </is>
      </c>
    </row>
    <row r="7" ht="42" customHeight="1" s="48">
      <c r="A7" s="11" t="inlineStr">
        <is>
          <t>NexLife</t>
        </is>
      </c>
      <c r="B7" s="11" t="n">
        <v>5</v>
      </c>
      <c r="C7" s="6" t="n">
        <v>215</v>
      </c>
      <c r="D7" s="6">
        <f>C7*12</f>
        <v/>
      </c>
      <c r="E7" s="6">
        <f>IF(C7="","",C7/(B7*4))</f>
        <v/>
      </c>
      <c r="F7" s="6" t="n">
        <v>215</v>
      </c>
      <c r="G7" s="6" t="n">
        <v>2580</v>
      </c>
      <c r="H7" s="6" t="n">
        <v>0</v>
      </c>
      <c r="I7" s="6" t="n">
        <v>186</v>
      </c>
      <c r="J7" s="11" t="inlineStr">
        <is>
          <t>12-month plan</t>
        </is>
      </c>
      <c r="K7" s="11" t="inlineStr">
        <is>
          <t>flat</t>
        </is>
      </c>
      <c r="L7" s="11" t="inlineStr">
        <is>
          <t>all-in</t>
        </is>
      </c>
      <c r="M7" s="11" t="inlineStr">
        <is>
          <t>source-verified</t>
        </is>
      </c>
      <c r="N7" s="13" t="n">
        <v>100</v>
      </c>
      <c r="O7" s="11" t="b">
        <v>1</v>
      </c>
      <c r="P7" s="11" t="inlineStr">
        <is>
          <t>6 named partners</t>
        </is>
      </c>
      <c r="Q7" s="15" t="n">
        <v>46239</v>
      </c>
      <c r="R7" s="11" t="inlineStr">
        <is>
          <t>https://nexlife.us/pages/tirzepatide-all-plans</t>
        </is>
      </c>
      <c r="S7" s="11" t="inlineStr">
        <is>
          <t>https://web.archive.org/web/*/https://nexlife.us/pages/tirzepatide-all-plans</t>
        </is>
      </c>
      <c r="T7" s="8" t="inlineStr">
        <is>
          <t>None we could identify. $215 is the standing monthly rate, flat across the full 2.5-15 mg ladder, with no membership and no promotional entry price. Six partner pharmacies are named before purchase.</t>
        </is>
      </c>
    </row>
    <row r="8" ht="42" customHeight="1" s="48">
      <c r="A8" s="11" t="inlineStr">
        <is>
          <t>NexLife</t>
        </is>
      </c>
      <c r="B8" s="11" t="n">
        <v>7.5</v>
      </c>
      <c r="C8" s="6" t="n">
        <v>215</v>
      </c>
      <c r="D8" s="6">
        <f>C8*12</f>
        <v/>
      </c>
      <c r="E8" s="6">
        <f>IF(C8="","",C8/(B8*4))</f>
        <v/>
      </c>
      <c r="F8" s="6" t="n">
        <v>215</v>
      </c>
      <c r="G8" s="6" t="n">
        <v>2580</v>
      </c>
      <c r="H8" s="6" t="n">
        <v>0</v>
      </c>
      <c r="I8" s="6" t="n">
        <v>186</v>
      </c>
      <c r="J8" s="11" t="inlineStr">
        <is>
          <t>12-month plan</t>
        </is>
      </c>
      <c r="K8" s="11" t="inlineStr">
        <is>
          <t>flat</t>
        </is>
      </c>
      <c r="L8" s="11" t="inlineStr">
        <is>
          <t>all-in</t>
        </is>
      </c>
      <c r="M8" s="11" t="inlineStr">
        <is>
          <t>source-verified</t>
        </is>
      </c>
      <c r="N8" s="13" t="n">
        <v>100</v>
      </c>
      <c r="O8" s="11" t="b">
        <v>1</v>
      </c>
      <c r="P8" s="11" t="inlineStr">
        <is>
          <t>6 named partners</t>
        </is>
      </c>
      <c r="Q8" s="15" t="n">
        <v>46239</v>
      </c>
      <c r="R8" s="11" t="inlineStr">
        <is>
          <t>https://nexlife.us/pages/tirzepatide-all-plans</t>
        </is>
      </c>
      <c r="S8" s="11" t="inlineStr">
        <is>
          <t>https://web.archive.org/web/*/https://nexlife.us/pages/tirzepatide-all-plans</t>
        </is>
      </c>
      <c r="T8" s="8" t="inlineStr">
        <is>
          <t>None we could identify. $215 is the standing monthly rate, flat across the full 2.5-15 mg ladder, with no membership and no promotional entry price. Six partner pharmacies are named before purchase.</t>
        </is>
      </c>
    </row>
    <row r="9" ht="42" customHeight="1" s="48">
      <c r="A9" s="11" t="inlineStr">
        <is>
          <t>NexLife</t>
        </is>
      </c>
      <c r="B9" s="11" t="n">
        <v>10</v>
      </c>
      <c r="C9" s="6" t="n">
        <v>215</v>
      </c>
      <c r="D9" s="6">
        <f>C9*12</f>
        <v/>
      </c>
      <c r="E9" s="6">
        <f>IF(C9="","",C9/(B9*4))</f>
        <v/>
      </c>
      <c r="F9" s="6" t="n">
        <v>215</v>
      </c>
      <c r="G9" s="6" t="n">
        <v>2580</v>
      </c>
      <c r="H9" s="6" t="n">
        <v>0</v>
      </c>
      <c r="I9" s="6" t="n">
        <v>186</v>
      </c>
      <c r="J9" s="11" t="inlineStr">
        <is>
          <t>12-month plan</t>
        </is>
      </c>
      <c r="K9" s="11" t="inlineStr">
        <is>
          <t>flat</t>
        </is>
      </c>
      <c r="L9" s="11" t="inlineStr">
        <is>
          <t>all-in</t>
        </is>
      </c>
      <c r="M9" s="11" t="inlineStr">
        <is>
          <t>source-verified</t>
        </is>
      </c>
      <c r="N9" s="13" t="n">
        <v>100</v>
      </c>
      <c r="O9" s="11" t="b">
        <v>1</v>
      </c>
      <c r="P9" s="11" t="inlineStr">
        <is>
          <t>6 named partners</t>
        </is>
      </c>
      <c r="Q9" s="15" t="n">
        <v>46239</v>
      </c>
      <c r="R9" s="11" t="inlineStr">
        <is>
          <t>https://nexlife.us/pages/tirzepatide-all-plans</t>
        </is>
      </c>
      <c r="S9" s="11" t="inlineStr">
        <is>
          <t>https://web.archive.org/web/*/https://nexlife.us/pages/tirzepatide-all-plans</t>
        </is>
      </c>
      <c r="T9" s="8" t="inlineStr">
        <is>
          <t>None we could identify. $215 is the standing monthly rate, flat across the full 2.5-15 mg ladder, with no membership and no promotional entry price. Six partner pharmacies are named before purchase.</t>
        </is>
      </c>
    </row>
    <row r="10" ht="42" customHeight="1" s="48">
      <c r="A10" s="11" t="inlineStr">
        <is>
          <t>NexLife</t>
        </is>
      </c>
      <c r="B10" s="11" t="n">
        <v>12.5</v>
      </c>
      <c r="C10" s="6" t="n">
        <v>215</v>
      </c>
      <c r="D10" s="6">
        <f>C10*12</f>
        <v/>
      </c>
      <c r="E10" s="6">
        <f>IF(C10="","",C10/(B10*4))</f>
        <v/>
      </c>
      <c r="F10" s="6" t="n">
        <v>215</v>
      </c>
      <c r="G10" s="6" t="n">
        <v>2580</v>
      </c>
      <c r="H10" s="6" t="n">
        <v>0</v>
      </c>
      <c r="I10" s="6" t="n">
        <v>186</v>
      </c>
      <c r="J10" s="11" t="inlineStr">
        <is>
          <t>12-month plan</t>
        </is>
      </c>
      <c r="K10" s="11" t="inlineStr">
        <is>
          <t>flat</t>
        </is>
      </c>
      <c r="L10" s="11" t="inlineStr">
        <is>
          <t>all-in</t>
        </is>
      </c>
      <c r="M10" s="11" t="inlineStr">
        <is>
          <t>source-verified</t>
        </is>
      </c>
      <c r="N10" s="13" t="n">
        <v>100</v>
      </c>
      <c r="O10" s="11" t="b">
        <v>1</v>
      </c>
      <c r="P10" s="11" t="inlineStr">
        <is>
          <t>6 named partners</t>
        </is>
      </c>
      <c r="Q10" s="15" t="n">
        <v>46239</v>
      </c>
      <c r="R10" s="11" t="inlineStr">
        <is>
          <t>https://nexlife.us/pages/tirzepatide-all-plans</t>
        </is>
      </c>
      <c r="S10" s="11" t="inlineStr">
        <is>
          <t>https://web.archive.org/web/*/https://nexlife.us/pages/tirzepatide-all-plans</t>
        </is>
      </c>
      <c r="T10" s="8" t="inlineStr">
        <is>
          <t>None we could identify. $215 is the standing monthly rate, flat across the full 2.5-15 mg ladder, with no membership and no promotional entry price. Six partner pharmacies are named before purchase.</t>
        </is>
      </c>
    </row>
    <row r="11" ht="42" customHeight="1" s="48">
      <c r="A11" s="11" t="inlineStr">
        <is>
          <t>NexLife</t>
        </is>
      </c>
      <c r="B11" s="11" t="n">
        <v>15</v>
      </c>
      <c r="C11" s="6" t="n">
        <v>215</v>
      </c>
      <c r="D11" s="6">
        <f>C11*12</f>
        <v/>
      </c>
      <c r="E11" s="6">
        <f>IF(C11="","",C11/(B11*4))</f>
        <v/>
      </c>
      <c r="F11" s="6" t="n">
        <v>215</v>
      </c>
      <c r="G11" s="6" t="n">
        <v>2580</v>
      </c>
      <c r="H11" s="6" t="n">
        <v>0</v>
      </c>
      <c r="I11" s="6" t="n">
        <v>186</v>
      </c>
      <c r="J11" s="11" t="inlineStr">
        <is>
          <t>12-month plan</t>
        </is>
      </c>
      <c r="K11" s="11" t="inlineStr">
        <is>
          <t>flat</t>
        </is>
      </c>
      <c r="L11" s="11" t="inlineStr">
        <is>
          <t>all-in</t>
        </is>
      </c>
      <c r="M11" s="11" t="inlineStr">
        <is>
          <t>source-verified</t>
        </is>
      </c>
      <c r="N11" s="13" t="n">
        <v>100</v>
      </c>
      <c r="O11" s="11" t="b">
        <v>1</v>
      </c>
      <c r="P11" s="11" t="inlineStr">
        <is>
          <t>6 named partners</t>
        </is>
      </c>
      <c r="Q11" s="15" t="n">
        <v>46239</v>
      </c>
      <c r="R11" s="11" t="inlineStr">
        <is>
          <t>https://nexlife.us/pages/tirzepatide-all-plans</t>
        </is>
      </c>
      <c r="S11" s="11" t="inlineStr">
        <is>
          <t>https://web.archive.org/web/*/https://nexlife.us/pages/tirzepatide-all-plans</t>
        </is>
      </c>
      <c r="T11" s="8" t="inlineStr">
        <is>
          <t>None we could identify. $215 is the standing monthly rate, flat across the full 2.5-15 mg ladder, with no membership and no promotional entry price. Six partner pharmacies are named before purchase.</t>
        </is>
      </c>
    </row>
    <row r="12" ht="42" customHeight="1" s="48">
      <c r="A12" s="11" t="inlineStr">
        <is>
          <t>Yucca Health</t>
        </is>
      </c>
      <c r="B12" s="11" t="n">
        <v>2.5</v>
      </c>
      <c r="C12" s="6" t="n">
        <v>258</v>
      </c>
      <c r="D12" s="6">
        <f>C12*12</f>
        <v/>
      </c>
      <c r="E12" s="6">
        <f>IF(C12="","",C12/(B12*4))</f>
        <v/>
      </c>
      <c r="F12" s="6" t="n">
        <v>258</v>
      </c>
      <c r="G12" s="6" t="n">
        <v>3096</v>
      </c>
      <c r="H12" s="6" t="n">
        <v>0</v>
      </c>
      <c r="I12" s="6" t="n">
        <v>225</v>
      </c>
      <c r="J12" s="11" t="inlineStr">
        <is>
          <t>6-month plan</t>
        </is>
      </c>
      <c r="K12" s="11" t="inlineStr">
        <is>
          <t>flat</t>
        </is>
      </c>
      <c r="L12" s="11" t="inlineStr">
        <is>
          <t>all-in</t>
        </is>
      </c>
      <c r="M12" s="11" t="inlineStr">
        <is>
          <t>source-verified</t>
        </is>
      </c>
      <c r="N12" s="13" t="n">
        <v>100</v>
      </c>
      <c r="O12" s="11" t="b">
        <v>1</v>
      </c>
      <c r="P12" s="11" t="inlineStr">
        <is>
          <t>named physicians</t>
        </is>
      </c>
      <c r="Q12" s="15" t="n">
        <v>46239</v>
      </c>
      <c r="R12" s="11" t="inlineStr">
        <is>
          <t>https://tryyucca.com/tirzepatide/</t>
        </is>
      </c>
      <c r="S12" s="11" t="inlineStr">
        <is>
          <t>https://web.archive.org/web/*/https://tryyucca.com/tirzepatide/</t>
        </is>
      </c>
      <c r="T12" s="8" t="inlineStr">
        <is>
          <t>The advertised rate is a new-patient figure on a six-month plan, shown site-wide with a promo code. Yucca's own FAQ says full pricing is shared after intake once eligibility is confirmed.</t>
        </is>
      </c>
    </row>
    <row r="13" ht="42" customHeight="1" s="48">
      <c r="A13" s="11" t="inlineStr">
        <is>
          <t>Yucca Health</t>
        </is>
      </c>
      <c r="B13" s="11" t="n">
        <v>5</v>
      </c>
      <c r="C13" s="6" t="n">
        <v>258</v>
      </c>
      <c r="D13" s="6">
        <f>C13*12</f>
        <v/>
      </c>
      <c r="E13" s="6">
        <f>IF(C13="","",C13/(B13*4))</f>
        <v/>
      </c>
      <c r="F13" s="6" t="n">
        <v>258</v>
      </c>
      <c r="G13" s="6" t="n">
        <v>3096</v>
      </c>
      <c r="H13" s="6" t="n">
        <v>0</v>
      </c>
      <c r="I13" s="6" t="n">
        <v>225</v>
      </c>
      <c r="J13" s="11" t="inlineStr">
        <is>
          <t>6-month plan</t>
        </is>
      </c>
      <c r="K13" s="11" t="inlineStr">
        <is>
          <t>flat</t>
        </is>
      </c>
      <c r="L13" s="11" t="inlineStr">
        <is>
          <t>all-in</t>
        </is>
      </c>
      <c r="M13" s="11" t="inlineStr">
        <is>
          <t>source-verified</t>
        </is>
      </c>
      <c r="N13" s="13" t="n">
        <v>100</v>
      </c>
      <c r="O13" s="11" t="b">
        <v>1</v>
      </c>
      <c r="P13" s="11" t="inlineStr">
        <is>
          <t>named physicians</t>
        </is>
      </c>
      <c r="Q13" s="15" t="n">
        <v>46239</v>
      </c>
      <c r="R13" s="11" t="inlineStr">
        <is>
          <t>https://tryyucca.com/tirzepatide/</t>
        </is>
      </c>
      <c r="S13" s="11" t="inlineStr">
        <is>
          <t>https://web.archive.org/web/*/https://tryyucca.com/tirzepatide/</t>
        </is>
      </c>
      <c r="T13" s="8" t="inlineStr">
        <is>
          <t>The advertised rate is a new-patient figure on a six-month plan, shown site-wide with a promo code. Yucca's own FAQ says full pricing is shared after intake once eligibility is confirmed.</t>
        </is>
      </c>
    </row>
    <row r="14" ht="42" customHeight="1" s="48">
      <c r="A14" s="11" t="inlineStr">
        <is>
          <t>Yucca Health</t>
        </is>
      </c>
      <c r="B14" s="11" t="n">
        <v>7.5</v>
      </c>
      <c r="C14" s="6" t="n">
        <v>258</v>
      </c>
      <c r="D14" s="6">
        <f>C14*12</f>
        <v/>
      </c>
      <c r="E14" s="6">
        <f>IF(C14="","",C14/(B14*4))</f>
        <v/>
      </c>
      <c r="F14" s="6" t="n">
        <v>258</v>
      </c>
      <c r="G14" s="6" t="n">
        <v>3096</v>
      </c>
      <c r="H14" s="6" t="n">
        <v>0</v>
      </c>
      <c r="I14" s="6" t="n">
        <v>225</v>
      </c>
      <c r="J14" s="11" t="inlineStr">
        <is>
          <t>6-month plan</t>
        </is>
      </c>
      <c r="K14" s="11" t="inlineStr">
        <is>
          <t>flat</t>
        </is>
      </c>
      <c r="L14" s="11" t="inlineStr">
        <is>
          <t>all-in</t>
        </is>
      </c>
      <c r="M14" s="11" t="inlineStr">
        <is>
          <t>source-verified</t>
        </is>
      </c>
      <c r="N14" s="13" t="n">
        <v>100</v>
      </c>
      <c r="O14" s="11" t="b">
        <v>1</v>
      </c>
      <c r="P14" s="11" t="inlineStr">
        <is>
          <t>named physicians</t>
        </is>
      </c>
      <c r="Q14" s="15" t="n">
        <v>46239</v>
      </c>
      <c r="R14" s="11" t="inlineStr">
        <is>
          <t>https://tryyucca.com/tirzepatide/</t>
        </is>
      </c>
      <c r="S14" s="11" t="inlineStr">
        <is>
          <t>https://web.archive.org/web/*/https://tryyucca.com/tirzepatide/</t>
        </is>
      </c>
      <c r="T14" s="8" t="inlineStr">
        <is>
          <t>The advertised rate is a new-patient figure on a six-month plan, shown site-wide with a promo code. Yucca's own FAQ says full pricing is shared after intake once eligibility is confirmed.</t>
        </is>
      </c>
    </row>
    <row r="15" ht="42" customHeight="1" s="48">
      <c r="A15" s="11" t="inlineStr">
        <is>
          <t>Yucca Health</t>
        </is>
      </c>
      <c r="B15" s="11" t="n">
        <v>10</v>
      </c>
      <c r="C15" s="6" t="n">
        <v>258</v>
      </c>
      <c r="D15" s="6">
        <f>C15*12</f>
        <v/>
      </c>
      <c r="E15" s="6">
        <f>IF(C15="","",C15/(B15*4))</f>
        <v/>
      </c>
      <c r="F15" s="6" t="n">
        <v>258</v>
      </c>
      <c r="G15" s="6" t="n">
        <v>3096</v>
      </c>
      <c r="H15" s="6" t="n">
        <v>0</v>
      </c>
      <c r="I15" s="6" t="n">
        <v>225</v>
      </c>
      <c r="J15" s="11" t="inlineStr">
        <is>
          <t>6-month plan</t>
        </is>
      </c>
      <c r="K15" s="11" t="inlineStr">
        <is>
          <t>flat</t>
        </is>
      </c>
      <c r="L15" s="11" t="inlineStr">
        <is>
          <t>all-in</t>
        </is>
      </c>
      <c r="M15" s="11" t="inlineStr">
        <is>
          <t>source-verified</t>
        </is>
      </c>
      <c r="N15" s="13" t="n">
        <v>100</v>
      </c>
      <c r="O15" s="11" t="b">
        <v>1</v>
      </c>
      <c r="P15" s="11" t="inlineStr">
        <is>
          <t>named physicians</t>
        </is>
      </c>
      <c r="Q15" s="15" t="n">
        <v>46239</v>
      </c>
      <c r="R15" s="11" t="inlineStr">
        <is>
          <t>https://tryyucca.com/tirzepatide/</t>
        </is>
      </c>
      <c r="S15" s="11" t="inlineStr">
        <is>
          <t>https://web.archive.org/web/*/https://tryyucca.com/tirzepatide/</t>
        </is>
      </c>
      <c r="T15" s="8" t="inlineStr">
        <is>
          <t>The advertised rate is a new-patient figure on a six-month plan, shown site-wide with a promo code. Yucca's own FAQ says full pricing is shared after intake once eligibility is confirmed.</t>
        </is>
      </c>
    </row>
    <row r="16" ht="42" customHeight="1" s="48">
      <c r="A16" s="11" t="inlineStr">
        <is>
          <t>Yucca Health</t>
        </is>
      </c>
      <c r="B16" s="11" t="n">
        <v>12.5</v>
      </c>
      <c r="C16" s="6" t="n">
        <v>258</v>
      </c>
      <c r="D16" s="6">
        <f>C16*12</f>
        <v/>
      </c>
      <c r="E16" s="6">
        <f>IF(C16="","",C16/(B16*4))</f>
        <v/>
      </c>
      <c r="F16" s="6" t="n">
        <v>258</v>
      </c>
      <c r="G16" s="6" t="n">
        <v>3096</v>
      </c>
      <c r="H16" s="6" t="n">
        <v>0</v>
      </c>
      <c r="I16" s="6" t="n">
        <v>225</v>
      </c>
      <c r="J16" s="11" t="inlineStr">
        <is>
          <t>6-month plan</t>
        </is>
      </c>
      <c r="K16" s="11" t="inlineStr">
        <is>
          <t>flat</t>
        </is>
      </c>
      <c r="L16" s="11" t="inlineStr">
        <is>
          <t>all-in</t>
        </is>
      </c>
      <c r="M16" s="11" t="inlineStr">
        <is>
          <t>source-verified</t>
        </is>
      </c>
      <c r="N16" s="13" t="n">
        <v>100</v>
      </c>
      <c r="O16" s="11" t="b">
        <v>1</v>
      </c>
      <c r="P16" s="11" t="inlineStr">
        <is>
          <t>named physicians</t>
        </is>
      </c>
      <c r="Q16" s="15" t="n">
        <v>46239</v>
      </c>
      <c r="R16" s="11" t="inlineStr">
        <is>
          <t>https://tryyucca.com/tirzepatide/</t>
        </is>
      </c>
      <c r="S16" s="11" t="inlineStr">
        <is>
          <t>https://web.archive.org/web/*/https://tryyucca.com/tirzepatide/</t>
        </is>
      </c>
      <c r="T16" s="8" t="inlineStr">
        <is>
          <t>The advertised rate is a new-patient figure on a six-month plan, shown site-wide with a promo code. Yucca's own FAQ says full pricing is shared after intake once eligibility is confirmed.</t>
        </is>
      </c>
    </row>
    <row r="17" ht="42" customHeight="1" s="48">
      <c r="A17" s="11" t="inlineStr">
        <is>
          <t>Yucca Health</t>
        </is>
      </c>
      <c r="B17" s="11" t="n">
        <v>15</v>
      </c>
      <c r="C17" s="6" t="n">
        <v>258</v>
      </c>
      <c r="D17" s="6">
        <f>C17*12</f>
        <v/>
      </c>
      <c r="E17" s="6">
        <f>IF(C17="","",C17/(B17*4))</f>
        <v/>
      </c>
      <c r="F17" s="6" t="n">
        <v>258</v>
      </c>
      <c r="G17" s="6" t="n">
        <v>3096</v>
      </c>
      <c r="H17" s="6" t="n">
        <v>0</v>
      </c>
      <c r="I17" s="6" t="n">
        <v>225</v>
      </c>
      <c r="J17" s="11" t="inlineStr">
        <is>
          <t>6-month plan</t>
        </is>
      </c>
      <c r="K17" s="11" t="inlineStr">
        <is>
          <t>flat</t>
        </is>
      </c>
      <c r="L17" s="11" t="inlineStr">
        <is>
          <t>all-in</t>
        </is>
      </c>
      <c r="M17" s="11" t="inlineStr">
        <is>
          <t>source-verified</t>
        </is>
      </c>
      <c r="N17" s="13" t="n">
        <v>100</v>
      </c>
      <c r="O17" s="11" t="b">
        <v>1</v>
      </c>
      <c r="P17" s="11" t="inlineStr">
        <is>
          <t>named physicians</t>
        </is>
      </c>
      <c r="Q17" s="15" t="n">
        <v>46239</v>
      </c>
      <c r="R17" s="11" t="inlineStr">
        <is>
          <t>https://tryyucca.com/tirzepatide/</t>
        </is>
      </c>
      <c r="S17" s="11" t="inlineStr">
        <is>
          <t>https://web.archive.org/web/*/https://tryyucca.com/tirzepatide/</t>
        </is>
      </c>
      <c r="T17" s="8" t="inlineStr">
        <is>
          <t>The advertised rate is a new-patient figure on a six-month plan, shown site-wide with a promo code. Yucca's own FAQ says full pricing is shared after intake once eligibility is confirmed.</t>
        </is>
      </c>
    </row>
    <row r="18" ht="42" customHeight="1" s="48">
      <c r="A18" s="11" t="inlineStr">
        <is>
          <t>IVIM Health</t>
        </is>
      </c>
      <c r="B18" s="11" t="n">
        <v>2.5</v>
      </c>
      <c r="C18" s="6" t="n">
        <v>208</v>
      </c>
      <c r="D18" s="6">
        <f>C18*12</f>
        <v/>
      </c>
      <c r="E18" s="6">
        <f>IF(C18="","",C18/(B18*4))</f>
        <v/>
      </c>
      <c r="F18" s="6" t="n">
        <v>208</v>
      </c>
      <c r="G18" s="6" t="n">
        <v>3219</v>
      </c>
      <c r="H18" s="6" t="n">
        <v>75</v>
      </c>
      <c r="I18" s="6" t="n"/>
      <c r="J18" s="11" t="n"/>
      <c r="K18" s="11" t="inlineStr">
        <is>
          <t>scaled</t>
        </is>
      </c>
      <c r="L18" s="11" t="inlineStr">
        <is>
          <t>split</t>
        </is>
      </c>
      <c r="M18" s="11" t="inlineStr">
        <is>
          <t>source-verified</t>
        </is>
      </c>
      <c r="N18" s="13" t="n">
        <v>60</v>
      </c>
      <c r="O18" s="11" t="b">
        <v>0</v>
      </c>
      <c r="P18" s="11" t="inlineStr">
        <is>
          <t>not named</t>
        </is>
      </c>
      <c r="Q18" s="15" t="n">
        <v>46239</v>
      </c>
      <c r="R18" s="11" t="inlineStr">
        <is>
          <t>https://www.ivimhealth.com/glp1-pricing/</t>
        </is>
      </c>
      <c r="S18" s="11" t="inlineStr">
        <is>
          <t>https://web.archive.org/web/*/https://www.ivimhealth.com/glp1-pricing/</t>
        </is>
      </c>
      <c r="T18" s="8" t="inlineStr">
        <is>
          <t>The medication figure requires a mandatory monthly membership for the duration of the plan, and laboratory work is required. The advertised number is not the total.</t>
        </is>
      </c>
    </row>
    <row r="19" ht="42" customHeight="1" s="48">
      <c r="A19" s="11" t="inlineStr">
        <is>
          <t>IVIM Health</t>
        </is>
      </c>
      <c r="B19" s="11" t="n">
        <v>5</v>
      </c>
      <c r="C19" s="6" t="n">
        <v>231</v>
      </c>
      <c r="D19" s="6">
        <f>C19*12</f>
        <v/>
      </c>
      <c r="E19" s="6">
        <f>IF(C19="","",C19/(B19*4))</f>
        <v/>
      </c>
      <c r="F19" s="6" t="n">
        <v>208</v>
      </c>
      <c r="G19" s="6" t="n">
        <v>3219</v>
      </c>
      <c r="H19" s="6" t="n">
        <v>75</v>
      </c>
      <c r="I19" s="6" t="n"/>
      <c r="J19" s="11" t="n"/>
      <c r="K19" s="11" t="inlineStr">
        <is>
          <t>scaled</t>
        </is>
      </c>
      <c r="L19" s="11" t="inlineStr">
        <is>
          <t>split</t>
        </is>
      </c>
      <c r="M19" s="11" t="inlineStr">
        <is>
          <t>source-verified</t>
        </is>
      </c>
      <c r="N19" s="13" t="n">
        <v>60</v>
      </c>
      <c r="O19" s="11" t="b">
        <v>0</v>
      </c>
      <c r="P19" s="11" t="inlineStr">
        <is>
          <t>not named</t>
        </is>
      </c>
      <c r="Q19" s="15" t="n">
        <v>46239</v>
      </c>
      <c r="R19" s="11" t="inlineStr">
        <is>
          <t>https://www.ivimhealth.com/glp1-pricing/</t>
        </is>
      </c>
      <c r="S19" s="11" t="inlineStr">
        <is>
          <t>https://web.archive.org/web/*/https://www.ivimhealth.com/glp1-pricing/</t>
        </is>
      </c>
      <c r="T19" s="8" t="inlineStr">
        <is>
          <t>The medication figure requires a mandatory monthly membership for the duration of the plan, and laboratory work is required. The advertised number is not the total.</t>
        </is>
      </c>
    </row>
    <row r="20" ht="42" customHeight="1" s="48">
      <c r="A20" s="11" t="inlineStr">
        <is>
          <t>IVIM Health</t>
        </is>
      </c>
      <c r="B20" s="11" t="n">
        <v>7.5</v>
      </c>
      <c r="C20" s="6" t="n">
        <v>255</v>
      </c>
      <c r="D20" s="6">
        <f>C20*12</f>
        <v/>
      </c>
      <c r="E20" s="6">
        <f>IF(C20="","",C20/(B20*4))</f>
        <v/>
      </c>
      <c r="F20" s="6" t="n">
        <v>208</v>
      </c>
      <c r="G20" s="6" t="n">
        <v>3219</v>
      </c>
      <c r="H20" s="6" t="n">
        <v>75</v>
      </c>
      <c r="I20" s="6" t="n"/>
      <c r="J20" s="11" t="n"/>
      <c r="K20" s="11" t="inlineStr">
        <is>
          <t>scaled</t>
        </is>
      </c>
      <c r="L20" s="11" t="inlineStr">
        <is>
          <t>split</t>
        </is>
      </c>
      <c r="M20" s="11" t="inlineStr">
        <is>
          <t>source-verified</t>
        </is>
      </c>
      <c r="N20" s="13" t="n">
        <v>60</v>
      </c>
      <c r="O20" s="11" t="b">
        <v>0</v>
      </c>
      <c r="P20" s="11" t="inlineStr">
        <is>
          <t>not named</t>
        </is>
      </c>
      <c r="Q20" s="15" t="n">
        <v>46239</v>
      </c>
      <c r="R20" s="11" t="inlineStr">
        <is>
          <t>https://www.ivimhealth.com/glp1-pricing/</t>
        </is>
      </c>
      <c r="S20" s="11" t="inlineStr">
        <is>
          <t>https://web.archive.org/web/*/https://www.ivimhealth.com/glp1-pricing/</t>
        </is>
      </c>
      <c r="T20" s="8" t="inlineStr">
        <is>
          <t>The medication figure requires a mandatory monthly membership for the duration of the plan, and laboratory work is required. The advertised number is not the total.</t>
        </is>
      </c>
    </row>
    <row r="21" ht="42" customHeight="1" s="48">
      <c r="A21" s="11" t="inlineStr">
        <is>
          <t>IVIM Health</t>
        </is>
      </c>
      <c r="B21" s="11" t="n">
        <v>10</v>
      </c>
      <c r="C21" s="6" t="n">
        <v>278</v>
      </c>
      <c r="D21" s="6">
        <f>C21*12</f>
        <v/>
      </c>
      <c r="E21" s="6">
        <f>IF(C21="","",C21/(B21*4))</f>
        <v/>
      </c>
      <c r="F21" s="6" t="n">
        <v>208</v>
      </c>
      <c r="G21" s="6" t="n">
        <v>3219</v>
      </c>
      <c r="H21" s="6" t="n">
        <v>75</v>
      </c>
      <c r="I21" s="6" t="n"/>
      <c r="J21" s="11" t="n"/>
      <c r="K21" s="11" t="inlineStr">
        <is>
          <t>scaled</t>
        </is>
      </c>
      <c r="L21" s="11" t="inlineStr">
        <is>
          <t>split</t>
        </is>
      </c>
      <c r="M21" s="11" t="inlineStr">
        <is>
          <t>source-verified</t>
        </is>
      </c>
      <c r="N21" s="13" t="n">
        <v>60</v>
      </c>
      <c r="O21" s="11" t="b">
        <v>0</v>
      </c>
      <c r="P21" s="11" t="inlineStr">
        <is>
          <t>not named</t>
        </is>
      </c>
      <c r="Q21" s="15" t="n">
        <v>46239</v>
      </c>
      <c r="R21" s="11" t="inlineStr">
        <is>
          <t>https://www.ivimhealth.com/glp1-pricing/</t>
        </is>
      </c>
      <c r="S21" s="11" t="inlineStr">
        <is>
          <t>https://web.archive.org/web/*/https://www.ivimhealth.com/glp1-pricing/</t>
        </is>
      </c>
      <c r="T21" s="8" t="inlineStr">
        <is>
          <t>The medication figure requires a mandatory monthly membership for the duration of the plan, and laboratory work is required. The advertised number is not the total.</t>
        </is>
      </c>
    </row>
    <row r="22" ht="42" customHeight="1" s="48">
      <c r="A22" s="11" t="inlineStr">
        <is>
          <t>IVIM Health</t>
        </is>
      </c>
      <c r="B22" s="11" t="n">
        <v>12.5</v>
      </c>
      <c r="C22" s="6" t="n">
        <v>302</v>
      </c>
      <c r="D22" s="6">
        <f>C22*12</f>
        <v/>
      </c>
      <c r="E22" s="6">
        <f>IF(C22="","",C22/(B22*4))</f>
        <v/>
      </c>
      <c r="F22" s="6" t="n">
        <v>208</v>
      </c>
      <c r="G22" s="6" t="n">
        <v>3219</v>
      </c>
      <c r="H22" s="6" t="n">
        <v>75</v>
      </c>
      <c r="I22" s="6" t="n"/>
      <c r="J22" s="11" t="n"/>
      <c r="K22" s="11" t="inlineStr">
        <is>
          <t>scaled</t>
        </is>
      </c>
      <c r="L22" s="11" t="inlineStr">
        <is>
          <t>split</t>
        </is>
      </c>
      <c r="M22" s="11" t="inlineStr">
        <is>
          <t>source-verified</t>
        </is>
      </c>
      <c r="N22" s="13" t="n">
        <v>60</v>
      </c>
      <c r="O22" s="11" t="b">
        <v>0</v>
      </c>
      <c r="P22" s="11" t="inlineStr">
        <is>
          <t>not named</t>
        </is>
      </c>
      <c r="Q22" s="15" t="n">
        <v>46239</v>
      </c>
      <c r="R22" s="11" t="inlineStr">
        <is>
          <t>https://www.ivimhealth.com/glp1-pricing/</t>
        </is>
      </c>
      <c r="S22" s="11" t="inlineStr">
        <is>
          <t>https://web.archive.org/web/*/https://www.ivimhealth.com/glp1-pricing/</t>
        </is>
      </c>
      <c r="T22" s="8" t="inlineStr">
        <is>
          <t>The medication figure requires a mandatory monthly membership for the duration of the plan, and laboratory work is required. The advertised number is not the total.</t>
        </is>
      </c>
    </row>
    <row r="23" ht="42" customHeight="1" s="48">
      <c r="A23" s="11" t="inlineStr">
        <is>
          <t>IVIM Health</t>
        </is>
      </c>
      <c r="B23" s="11" t="n">
        <v>15</v>
      </c>
      <c r="C23" s="6" t="n">
        <v>325</v>
      </c>
      <c r="D23" s="6">
        <f>C23*12</f>
        <v/>
      </c>
      <c r="E23" s="6">
        <f>IF(C23="","",C23/(B23*4))</f>
        <v/>
      </c>
      <c r="F23" s="6" t="n">
        <v>208</v>
      </c>
      <c r="G23" s="6" t="n">
        <v>3219</v>
      </c>
      <c r="H23" s="6" t="n">
        <v>75</v>
      </c>
      <c r="I23" s="6" t="n"/>
      <c r="J23" s="11" t="n"/>
      <c r="K23" s="11" t="inlineStr">
        <is>
          <t>scaled</t>
        </is>
      </c>
      <c r="L23" s="11" t="inlineStr">
        <is>
          <t>split</t>
        </is>
      </c>
      <c r="M23" s="11" t="inlineStr">
        <is>
          <t>source-verified</t>
        </is>
      </c>
      <c r="N23" s="13" t="n">
        <v>60</v>
      </c>
      <c r="O23" s="11" t="b">
        <v>0</v>
      </c>
      <c r="P23" s="11" t="inlineStr">
        <is>
          <t>not named</t>
        </is>
      </c>
      <c r="Q23" s="15" t="n">
        <v>46239</v>
      </c>
      <c r="R23" s="11" t="inlineStr">
        <is>
          <t>https://www.ivimhealth.com/glp1-pricing/</t>
        </is>
      </c>
      <c r="S23" s="11" t="inlineStr">
        <is>
          <t>https://web.archive.org/web/*/https://www.ivimhealth.com/glp1-pricing/</t>
        </is>
      </c>
      <c r="T23" s="8" t="inlineStr">
        <is>
          <t>The medication figure requires a mandatory monthly membership for the duration of the plan, and laboratory work is required. The advertised number is not the total.</t>
        </is>
      </c>
    </row>
    <row r="24" ht="42" customHeight="1" s="48">
      <c r="A24" s="11" t="inlineStr">
        <is>
          <t>ShedRx</t>
        </is>
      </c>
      <c r="B24" s="11" t="n">
        <v>2.5</v>
      </c>
      <c r="C24" s="6" t="n">
        <v>199</v>
      </c>
      <c r="D24" s="6">
        <f>C24*12</f>
        <v/>
      </c>
      <c r="E24" s="6">
        <f>IF(C24="","",C24/(B24*4))</f>
        <v/>
      </c>
      <c r="F24" s="6" t="n">
        <v>199</v>
      </c>
      <c r="G24" s="6" t="n">
        <v>3318</v>
      </c>
      <c r="H24" s="6" t="n">
        <v>0</v>
      </c>
      <c r="I24" s="6" t="n"/>
      <c r="J24" s="11" t="n"/>
      <c r="K24" s="11" t="inlineStr">
        <is>
          <t>scaled</t>
        </is>
      </c>
      <c r="L24" s="11" t="inlineStr">
        <is>
          <t>all-in</t>
        </is>
      </c>
      <c r="M24" s="11" t="inlineStr">
        <is>
          <t>source-verified</t>
        </is>
      </c>
      <c r="N24" s="13" t="n">
        <v>70</v>
      </c>
      <c r="O24" s="11" t="b">
        <v>1</v>
      </c>
      <c r="P24" s="11" t="inlineStr">
        <is>
          <t>partially named</t>
        </is>
      </c>
      <c r="Q24" s="15" t="n">
        <v>46239</v>
      </c>
      <c r="R24" s="11" t="inlineStr">
        <is>
          <t>https://shedrx.com/</t>
        </is>
      </c>
      <c r="S24" s="11" t="inlineStr">
        <is>
          <t>https://web.archive.org/web/*/https://shedrx.com/</t>
        </is>
      </c>
      <c r="T24" s="8" t="inlineStr">
        <is>
          <t>Formats are priced separately and the headline rate is usually the cheapest format rather than the injection. Confirm which formulation your quote covers before checkout.</t>
        </is>
      </c>
    </row>
    <row r="25" ht="42" customHeight="1" s="48">
      <c r="A25" s="11" t="inlineStr">
        <is>
          <t>ShedRx</t>
        </is>
      </c>
      <c r="B25" s="11" t="n">
        <v>5</v>
      </c>
      <c r="C25" s="6" t="n">
        <v>229</v>
      </c>
      <c r="D25" s="6">
        <f>C25*12</f>
        <v/>
      </c>
      <c r="E25" s="6">
        <f>IF(C25="","",C25/(B25*4))</f>
        <v/>
      </c>
      <c r="F25" s="6" t="n">
        <v>199</v>
      </c>
      <c r="G25" s="6" t="n">
        <v>3318</v>
      </c>
      <c r="H25" s="6" t="n">
        <v>0</v>
      </c>
      <c r="I25" s="6" t="n"/>
      <c r="J25" s="11" t="n"/>
      <c r="K25" s="11" t="inlineStr">
        <is>
          <t>scaled</t>
        </is>
      </c>
      <c r="L25" s="11" t="inlineStr">
        <is>
          <t>all-in</t>
        </is>
      </c>
      <c r="M25" s="11" t="inlineStr">
        <is>
          <t>source-verified</t>
        </is>
      </c>
      <c r="N25" s="13" t="n">
        <v>70</v>
      </c>
      <c r="O25" s="11" t="b">
        <v>1</v>
      </c>
      <c r="P25" s="11" t="inlineStr">
        <is>
          <t>partially named</t>
        </is>
      </c>
      <c r="Q25" s="15" t="n">
        <v>46239</v>
      </c>
      <c r="R25" s="11" t="inlineStr">
        <is>
          <t>https://shedrx.com/</t>
        </is>
      </c>
      <c r="S25" s="11" t="inlineStr">
        <is>
          <t>https://web.archive.org/web/*/https://shedrx.com/</t>
        </is>
      </c>
      <c r="T25" s="8" t="inlineStr">
        <is>
          <t>Formats are priced separately and the headline rate is usually the cheapest format rather than the injection. Confirm which formulation your quote covers before checkout.</t>
        </is>
      </c>
    </row>
    <row r="26" ht="42" customHeight="1" s="48">
      <c r="A26" s="11" t="inlineStr">
        <is>
          <t>ShedRx</t>
        </is>
      </c>
      <c r="B26" s="11" t="n">
        <v>7.5</v>
      </c>
      <c r="C26" s="6" t="n">
        <v>259</v>
      </c>
      <c r="D26" s="6">
        <f>C26*12</f>
        <v/>
      </c>
      <c r="E26" s="6">
        <f>IF(C26="","",C26/(B26*4))</f>
        <v/>
      </c>
      <c r="F26" s="6" t="n">
        <v>199</v>
      </c>
      <c r="G26" s="6" t="n">
        <v>3318</v>
      </c>
      <c r="H26" s="6" t="n">
        <v>0</v>
      </c>
      <c r="I26" s="6" t="n"/>
      <c r="J26" s="11" t="n"/>
      <c r="K26" s="11" t="inlineStr">
        <is>
          <t>scaled</t>
        </is>
      </c>
      <c r="L26" s="11" t="inlineStr">
        <is>
          <t>all-in</t>
        </is>
      </c>
      <c r="M26" s="11" t="inlineStr">
        <is>
          <t>source-verified</t>
        </is>
      </c>
      <c r="N26" s="13" t="n">
        <v>70</v>
      </c>
      <c r="O26" s="11" t="b">
        <v>1</v>
      </c>
      <c r="P26" s="11" t="inlineStr">
        <is>
          <t>partially named</t>
        </is>
      </c>
      <c r="Q26" s="15" t="n">
        <v>46239</v>
      </c>
      <c r="R26" s="11" t="inlineStr">
        <is>
          <t>https://shedrx.com/</t>
        </is>
      </c>
      <c r="S26" s="11" t="inlineStr">
        <is>
          <t>https://web.archive.org/web/*/https://shedrx.com/</t>
        </is>
      </c>
      <c r="T26" s="8" t="inlineStr">
        <is>
          <t>Formats are priced separately and the headline rate is usually the cheapest format rather than the injection. Confirm which formulation your quote covers before checkout.</t>
        </is>
      </c>
    </row>
    <row r="27" ht="42" customHeight="1" s="48">
      <c r="A27" s="11" t="inlineStr">
        <is>
          <t>ShedRx</t>
        </is>
      </c>
      <c r="B27" s="11" t="n">
        <v>10</v>
      </c>
      <c r="C27" s="6" t="n">
        <v>289</v>
      </c>
      <c r="D27" s="6">
        <f>C27*12</f>
        <v/>
      </c>
      <c r="E27" s="6">
        <f>IF(C27="","",C27/(B27*4))</f>
        <v/>
      </c>
      <c r="F27" s="6" t="n">
        <v>199</v>
      </c>
      <c r="G27" s="6" t="n">
        <v>3318</v>
      </c>
      <c r="H27" s="6" t="n">
        <v>0</v>
      </c>
      <c r="I27" s="6" t="n"/>
      <c r="J27" s="11" t="n"/>
      <c r="K27" s="11" t="inlineStr">
        <is>
          <t>scaled</t>
        </is>
      </c>
      <c r="L27" s="11" t="inlineStr">
        <is>
          <t>all-in</t>
        </is>
      </c>
      <c r="M27" s="11" t="inlineStr">
        <is>
          <t>source-verified</t>
        </is>
      </c>
      <c r="N27" s="13" t="n">
        <v>70</v>
      </c>
      <c r="O27" s="11" t="b">
        <v>1</v>
      </c>
      <c r="P27" s="11" t="inlineStr">
        <is>
          <t>partially named</t>
        </is>
      </c>
      <c r="Q27" s="15" t="n">
        <v>46239</v>
      </c>
      <c r="R27" s="11" t="inlineStr">
        <is>
          <t>https://shedrx.com/</t>
        </is>
      </c>
      <c r="S27" s="11" t="inlineStr">
        <is>
          <t>https://web.archive.org/web/*/https://shedrx.com/</t>
        </is>
      </c>
      <c r="T27" s="8" t="inlineStr">
        <is>
          <t>Formats are priced separately and the headline rate is usually the cheapest format rather than the injection. Confirm which formulation your quote covers before checkout.</t>
        </is>
      </c>
    </row>
    <row r="28" ht="42" customHeight="1" s="48">
      <c r="A28" s="11" t="inlineStr">
        <is>
          <t>ShedRx</t>
        </is>
      </c>
      <c r="B28" s="11" t="n">
        <v>12.5</v>
      </c>
      <c r="C28" s="6" t="n">
        <v>319</v>
      </c>
      <c r="D28" s="6">
        <f>C28*12</f>
        <v/>
      </c>
      <c r="E28" s="6">
        <f>IF(C28="","",C28/(B28*4))</f>
        <v/>
      </c>
      <c r="F28" s="6" t="n">
        <v>199</v>
      </c>
      <c r="G28" s="6" t="n">
        <v>3318</v>
      </c>
      <c r="H28" s="6" t="n">
        <v>0</v>
      </c>
      <c r="I28" s="6" t="n"/>
      <c r="J28" s="11" t="n"/>
      <c r="K28" s="11" t="inlineStr">
        <is>
          <t>scaled</t>
        </is>
      </c>
      <c r="L28" s="11" t="inlineStr">
        <is>
          <t>all-in</t>
        </is>
      </c>
      <c r="M28" s="11" t="inlineStr">
        <is>
          <t>source-verified</t>
        </is>
      </c>
      <c r="N28" s="13" t="n">
        <v>70</v>
      </c>
      <c r="O28" s="11" t="b">
        <v>1</v>
      </c>
      <c r="P28" s="11" t="inlineStr">
        <is>
          <t>partially named</t>
        </is>
      </c>
      <c r="Q28" s="15" t="n">
        <v>46239</v>
      </c>
      <c r="R28" s="11" t="inlineStr">
        <is>
          <t>https://shedrx.com/</t>
        </is>
      </c>
      <c r="S28" s="11" t="inlineStr">
        <is>
          <t>https://web.archive.org/web/*/https://shedrx.com/</t>
        </is>
      </c>
      <c r="T28" s="8" t="inlineStr">
        <is>
          <t>Formats are priced separately and the headline rate is usually the cheapest format rather than the injection. Confirm which formulation your quote covers before checkout.</t>
        </is>
      </c>
    </row>
    <row r="29" ht="42" customHeight="1" s="48">
      <c r="A29" s="11" t="inlineStr">
        <is>
          <t>ShedRx</t>
        </is>
      </c>
      <c r="B29" s="11" t="n">
        <v>15</v>
      </c>
      <c r="C29" s="6" t="n">
        <v>349</v>
      </c>
      <c r="D29" s="6">
        <f>C29*12</f>
        <v/>
      </c>
      <c r="E29" s="6">
        <f>IF(C29="","",C29/(B29*4))</f>
        <v/>
      </c>
      <c r="F29" s="6" t="n">
        <v>199</v>
      </c>
      <c r="G29" s="6" t="n">
        <v>3318</v>
      </c>
      <c r="H29" s="6" t="n">
        <v>0</v>
      </c>
      <c r="I29" s="6" t="n"/>
      <c r="J29" s="11" t="n"/>
      <c r="K29" s="11" t="inlineStr">
        <is>
          <t>scaled</t>
        </is>
      </c>
      <c r="L29" s="11" t="inlineStr">
        <is>
          <t>all-in</t>
        </is>
      </c>
      <c r="M29" s="11" t="inlineStr">
        <is>
          <t>source-verified</t>
        </is>
      </c>
      <c r="N29" s="13" t="n">
        <v>70</v>
      </c>
      <c r="O29" s="11" t="b">
        <v>1</v>
      </c>
      <c r="P29" s="11" t="inlineStr">
        <is>
          <t>partially named</t>
        </is>
      </c>
      <c r="Q29" s="15" t="n">
        <v>46239</v>
      </c>
      <c r="R29" s="11" t="inlineStr">
        <is>
          <t>https://shedrx.com/</t>
        </is>
      </c>
      <c r="S29" s="11" t="inlineStr">
        <is>
          <t>https://web.archive.org/web/*/https://shedrx.com/</t>
        </is>
      </c>
      <c r="T29" s="8" t="inlineStr">
        <is>
          <t>Formats are priced separately and the headline rate is usually the cheapest format rather than the injection. Confirm which formulation your quote covers before checkout.</t>
        </is>
      </c>
    </row>
    <row r="30" ht="42" customHeight="1" s="48">
      <c r="A30" s="11" t="inlineStr">
        <is>
          <t>Mochi Health</t>
        </is>
      </c>
      <c r="B30" s="11" t="n">
        <v>2.5</v>
      </c>
      <c r="C30" s="6" t="n">
        <v>278</v>
      </c>
      <c r="D30" s="6">
        <f>C30*12</f>
        <v/>
      </c>
      <c r="E30" s="6">
        <f>IF(C30="","",C30/(B30*4))</f>
        <v/>
      </c>
      <c r="F30" s="6" t="n">
        <v>278</v>
      </c>
      <c r="G30" s="6" t="n">
        <v>3336</v>
      </c>
      <c r="H30" s="6" t="n">
        <v>79</v>
      </c>
      <c r="I30" s="6" t="n"/>
      <c r="J30" s="11" t="n"/>
      <c r="K30" s="11" t="inlineStr">
        <is>
          <t>flat</t>
        </is>
      </c>
      <c r="L30" s="11" t="inlineStr">
        <is>
          <t>split</t>
        </is>
      </c>
      <c r="M30" s="11" t="inlineStr">
        <is>
          <t>source-verified</t>
        </is>
      </c>
      <c r="N30" s="13" t="n">
        <v>75</v>
      </c>
      <c r="O30" s="11" t="b">
        <v>1</v>
      </c>
      <c r="P30" s="11" t="inlineStr">
        <is>
          <t>owned facility</t>
        </is>
      </c>
      <c r="Q30" s="15" t="n">
        <v>46239</v>
      </c>
      <c r="R30" s="11" t="inlineStr">
        <is>
          <t>https://joinmochi.com/medications/compounded-tirzepatide</t>
        </is>
      </c>
      <c r="S30" s="11" t="inlineStr">
        <is>
          <t>https://web.archive.org/web/*/https://joinmochi.com/medications/compounded-tirzepatide</t>
        </is>
      </c>
      <c r="T30" s="8" t="inlineStr">
        <is>
          <t>The medication price is not the price you pay: a monthly membership is mandatory. Mochi also fills through an owned facility rather than a contracted pharmacy, which removes a layer of independent oversight.</t>
        </is>
      </c>
    </row>
    <row r="31" ht="42" customHeight="1" s="48">
      <c r="A31" s="11" t="inlineStr">
        <is>
          <t>Mochi Health</t>
        </is>
      </c>
      <c r="B31" s="11" t="n">
        <v>5</v>
      </c>
      <c r="C31" s="6" t="n">
        <v>278</v>
      </c>
      <c r="D31" s="6">
        <f>C31*12</f>
        <v/>
      </c>
      <c r="E31" s="6">
        <f>IF(C31="","",C31/(B31*4))</f>
        <v/>
      </c>
      <c r="F31" s="6" t="n">
        <v>278</v>
      </c>
      <c r="G31" s="6" t="n">
        <v>3336</v>
      </c>
      <c r="H31" s="6" t="n">
        <v>79</v>
      </c>
      <c r="I31" s="6" t="n"/>
      <c r="J31" s="11" t="n"/>
      <c r="K31" s="11" t="inlineStr">
        <is>
          <t>flat</t>
        </is>
      </c>
      <c r="L31" s="11" t="inlineStr">
        <is>
          <t>split</t>
        </is>
      </c>
      <c r="M31" s="11" t="inlineStr">
        <is>
          <t>source-verified</t>
        </is>
      </c>
      <c r="N31" s="13" t="n">
        <v>75</v>
      </c>
      <c r="O31" s="11" t="b">
        <v>1</v>
      </c>
      <c r="P31" s="11" t="inlineStr">
        <is>
          <t>owned facility</t>
        </is>
      </c>
      <c r="Q31" s="15" t="n">
        <v>46239</v>
      </c>
      <c r="R31" s="11" t="inlineStr">
        <is>
          <t>https://joinmochi.com/medications/compounded-tirzepatide</t>
        </is>
      </c>
      <c r="S31" s="11" t="inlineStr">
        <is>
          <t>https://web.archive.org/web/*/https://joinmochi.com/medications/compounded-tirzepatide</t>
        </is>
      </c>
      <c r="T31" s="8" t="inlineStr">
        <is>
          <t>The medication price is not the price you pay: a monthly membership is mandatory. Mochi also fills through an owned facility rather than a contracted pharmacy, which removes a layer of independent oversight.</t>
        </is>
      </c>
    </row>
    <row r="32" ht="42" customHeight="1" s="48">
      <c r="A32" s="11" t="inlineStr">
        <is>
          <t>Mochi Health</t>
        </is>
      </c>
      <c r="B32" s="11" t="n">
        <v>7.5</v>
      </c>
      <c r="C32" s="6" t="n">
        <v>278</v>
      </c>
      <c r="D32" s="6">
        <f>C32*12</f>
        <v/>
      </c>
      <c r="E32" s="6">
        <f>IF(C32="","",C32/(B32*4))</f>
        <v/>
      </c>
      <c r="F32" s="6" t="n">
        <v>278</v>
      </c>
      <c r="G32" s="6" t="n">
        <v>3336</v>
      </c>
      <c r="H32" s="6" t="n">
        <v>79</v>
      </c>
      <c r="I32" s="6" t="n"/>
      <c r="J32" s="11" t="n"/>
      <c r="K32" s="11" t="inlineStr">
        <is>
          <t>flat</t>
        </is>
      </c>
      <c r="L32" s="11" t="inlineStr">
        <is>
          <t>split</t>
        </is>
      </c>
      <c r="M32" s="11" t="inlineStr">
        <is>
          <t>source-verified</t>
        </is>
      </c>
      <c r="N32" s="13" t="n">
        <v>75</v>
      </c>
      <c r="O32" s="11" t="b">
        <v>1</v>
      </c>
      <c r="P32" s="11" t="inlineStr">
        <is>
          <t>owned facility</t>
        </is>
      </c>
      <c r="Q32" s="15" t="n">
        <v>46239</v>
      </c>
      <c r="R32" s="11" t="inlineStr">
        <is>
          <t>https://joinmochi.com/medications/compounded-tirzepatide</t>
        </is>
      </c>
      <c r="S32" s="11" t="inlineStr">
        <is>
          <t>https://web.archive.org/web/*/https://joinmochi.com/medications/compounded-tirzepatide</t>
        </is>
      </c>
      <c r="T32" s="8" t="inlineStr">
        <is>
          <t>The medication price is not the price you pay: a monthly membership is mandatory. Mochi also fills through an owned facility rather than a contracted pharmacy, which removes a layer of independent oversight.</t>
        </is>
      </c>
    </row>
    <row r="33" ht="42" customHeight="1" s="48">
      <c r="A33" s="11" t="inlineStr">
        <is>
          <t>Mochi Health</t>
        </is>
      </c>
      <c r="B33" s="11" t="n">
        <v>10</v>
      </c>
      <c r="C33" s="6" t="n">
        <v>278</v>
      </c>
      <c r="D33" s="6">
        <f>C33*12</f>
        <v/>
      </c>
      <c r="E33" s="6">
        <f>IF(C33="","",C33/(B33*4))</f>
        <v/>
      </c>
      <c r="F33" s="6" t="n">
        <v>278</v>
      </c>
      <c r="G33" s="6" t="n">
        <v>3336</v>
      </c>
      <c r="H33" s="6" t="n">
        <v>79</v>
      </c>
      <c r="I33" s="6" t="n"/>
      <c r="J33" s="11" t="n"/>
      <c r="K33" s="11" t="inlineStr">
        <is>
          <t>flat</t>
        </is>
      </c>
      <c r="L33" s="11" t="inlineStr">
        <is>
          <t>split</t>
        </is>
      </c>
      <c r="M33" s="11" t="inlineStr">
        <is>
          <t>source-verified</t>
        </is>
      </c>
      <c r="N33" s="13" t="n">
        <v>75</v>
      </c>
      <c r="O33" s="11" t="b">
        <v>1</v>
      </c>
      <c r="P33" s="11" t="inlineStr">
        <is>
          <t>owned facility</t>
        </is>
      </c>
      <c r="Q33" s="15" t="n">
        <v>46239</v>
      </c>
      <c r="R33" s="11" t="inlineStr">
        <is>
          <t>https://joinmochi.com/medications/compounded-tirzepatide</t>
        </is>
      </c>
      <c r="S33" s="11" t="inlineStr">
        <is>
          <t>https://web.archive.org/web/*/https://joinmochi.com/medications/compounded-tirzepatide</t>
        </is>
      </c>
      <c r="T33" s="8" t="inlineStr">
        <is>
          <t>The medication price is not the price you pay: a monthly membership is mandatory. Mochi also fills through an owned facility rather than a contracted pharmacy, which removes a layer of independent oversight.</t>
        </is>
      </c>
    </row>
    <row r="34" ht="42" customHeight="1" s="48">
      <c r="A34" s="11" t="inlineStr">
        <is>
          <t>Mochi Health</t>
        </is>
      </c>
      <c r="B34" s="11" t="n">
        <v>12.5</v>
      </c>
      <c r="C34" s="6" t="n">
        <v>278</v>
      </c>
      <c r="D34" s="6">
        <f>C34*12</f>
        <v/>
      </c>
      <c r="E34" s="6">
        <f>IF(C34="","",C34/(B34*4))</f>
        <v/>
      </c>
      <c r="F34" s="6" t="n">
        <v>278</v>
      </c>
      <c r="G34" s="6" t="n">
        <v>3336</v>
      </c>
      <c r="H34" s="6" t="n">
        <v>79</v>
      </c>
      <c r="I34" s="6" t="n"/>
      <c r="J34" s="11" t="n"/>
      <c r="K34" s="11" t="inlineStr">
        <is>
          <t>flat</t>
        </is>
      </c>
      <c r="L34" s="11" t="inlineStr">
        <is>
          <t>split</t>
        </is>
      </c>
      <c r="M34" s="11" t="inlineStr">
        <is>
          <t>source-verified</t>
        </is>
      </c>
      <c r="N34" s="13" t="n">
        <v>75</v>
      </c>
      <c r="O34" s="11" t="b">
        <v>1</v>
      </c>
      <c r="P34" s="11" t="inlineStr">
        <is>
          <t>owned facility</t>
        </is>
      </c>
      <c r="Q34" s="15" t="n">
        <v>46239</v>
      </c>
      <c r="R34" s="11" t="inlineStr">
        <is>
          <t>https://joinmochi.com/medications/compounded-tirzepatide</t>
        </is>
      </c>
      <c r="S34" s="11" t="inlineStr">
        <is>
          <t>https://web.archive.org/web/*/https://joinmochi.com/medications/compounded-tirzepatide</t>
        </is>
      </c>
      <c r="T34" s="8" t="inlineStr">
        <is>
          <t>The medication price is not the price you pay: a monthly membership is mandatory. Mochi also fills through an owned facility rather than a contracted pharmacy, which removes a layer of independent oversight.</t>
        </is>
      </c>
    </row>
    <row r="35" ht="42" customHeight="1" s="48">
      <c r="A35" s="11" t="inlineStr">
        <is>
          <t>Mochi Health</t>
        </is>
      </c>
      <c r="B35" s="11" t="n">
        <v>15</v>
      </c>
      <c r="C35" s="6" t="n">
        <v>278</v>
      </c>
      <c r="D35" s="6">
        <f>C35*12</f>
        <v/>
      </c>
      <c r="E35" s="6">
        <f>IF(C35="","",C35/(B35*4))</f>
        <v/>
      </c>
      <c r="F35" s="6" t="n">
        <v>278</v>
      </c>
      <c r="G35" s="6" t="n">
        <v>3336</v>
      </c>
      <c r="H35" s="6" t="n">
        <v>79</v>
      </c>
      <c r="I35" s="6" t="n"/>
      <c r="J35" s="11" t="n"/>
      <c r="K35" s="11" t="inlineStr">
        <is>
          <t>flat</t>
        </is>
      </c>
      <c r="L35" s="11" t="inlineStr">
        <is>
          <t>split</t>
        </is>
      </c>
      <c r="M35" s="11" t="inlineStr">
        <is>
          <t>source-verified</t>
        </is>
      </c>
      <c r="N35" s="13" t="n">
        <v>75</v>
      </c>
      <c r="O35" s="11" t="b">
        <v>1</v>
      </c>
      <c r="P35" s="11" t="inlineStr">
        <is>
          <t>owned facility</t>
        </is>
      </c>
      <c r="Q35" s="15" t="n">
        <v>46239</v>
      </c>
      <c r="R35" s="11" t="inlineStr">
        <is>
          <t>https://joinmochi.com/medications/compounded-tirzepatide</t>
        </is>
      </c>
      <c r="S35" s="11" t="inlineStr">
        <is>
          <t>https://web.archive.org/web/*/https://joinmochi.com/medications/compounded-tirzepatide</t>
        </is>
      </c>
      <c r="T35" s="8" t="inlineStr">
        <is>
          <t>The medication price is not the price you pay: a monthly membership is mandatory. Mochi also fills through an owned facility rather than a contracted pharmacy, which removes a layer of independent oversight.</t>
        </is>
      </c>
    </row>
    <row r="36" ht="42" customHeight="1" s="48">
      <c r="A36" s="11" t="inlineStr">
        <is>
          <t>Found</t>
        </is>
      </c>
      <c r="B36" s="11" t="n">
        <v>2.5</v>
      </c>
      <c r="C36" s="6" t="n">
        <v>289</v>
      </c>
      <c r="D36" s="6">
        <f>C36*12</f>
        <v/>
      </c>
      <c r="E36" s="6">
        <f>IF(C36="","",C36/(B36*4))</f>
        <v/>
      </c>
      <c r="F36" s="6" t="n">
        <v>289</v>
      </c>
      <c r="G36" s="6" t="n">
        <v>3468</v>
      </c>
      <c r="H36" s="6" t="n">
        <v>0</v>
      </c>
      <c r="I36" s="6" t="n">
        <v>169</v>
      </c>
      <c r="J36" s="11" t="inlineStr">
        <is>
          <t>12-month plan</t>
        </is>
      </c>
      <c r="K36" s="11" t="inlineStr">
        <is>
          <t>flat</t>
        </is>
      </c>
      <c r="L36" s="11" t="inlineStr">
        <is>
          <t>all-in</t>
        </is>
      </c>
      <c r="M36" s="11" t="inlineStr">
        <is>
          <t>third-party-reported</t>
        </is>
      </c>
      <c r="N36" s="13" t="n">
        <v>100</v>
      </c>
      <c r="O36" s="11" t="b">
        <v>0</v>
      </c>
      <c r="P36" s="11" t="inlineStr">
        <is>
          <t>not named</t>
        </is>
      </c>
      <c r="Q36" s="15" t="n">
        <v>46239</v>
      </c>
      <c r="R36" s="11" t="inlineStr">
        <is>
          <t>https://www.joinfound.com/</t>
        </is>
      </c>
      <c r="S36" s="11" t="inlineStr">
        <is>
          <t>https://web.archive.org/web/*/https://www.joinfound.com/</t>
        </is>
      </c>
      <c r="T36" s="8" t="inlineStr">
        <is>
          <t>The lowest advertised rate is a twelve-month plan paid up front. Month-to-month costs substantially more, and the final medication may not be tirzepatide if a clinician recommends otherwise.</t>
        </is>
      </c>
    </row>
    <row r="37" ht="42" customHeight="1" s="48">
      <c r="A37" s="11" t="inlineStr">
        <is>
          <t>Found</t>
        </is>
      </c>
      <c r="B37" s="11" t="n">
        <v>5</v>
      </c>
      <c r="C37" s="6" t="n">
        <v>289</v>
      </c>
      <c r="D37" s="6">
        <f>C37*12</f>
        <v/>
      </c>
      <c r="E37" s="6">
        <f>IF(C37="","",C37/(B37*4))</f>
        <v/>
      </c>
      <c r="F37" s="6" t="n">
        <v>289</v>
      </c>
      <c r="G37" s="6" t="n">
        <v>3468</v>
      </c>
      <c r="H37" s="6" t="n">
        <v>0</v>
      </c>
      <c r="I37" s="6" t="n">
        <v>169</v>
      </c>
      <c r="J37" s="11" t="inlineStr">
        <is>
          <t>12-month plan</t>
        </is>
      </c>
      <c r="K37" s="11" t="inlineStr">
        <is>
          <t>flat</t>
        </is>
      </c>
      <c r="L37" s="11" t="inlineStr">
        <is>
          <t>all-in</t>
        </is>
      </c>
      <c r="M37" s="11" t="inlineStr">
        <is>
          <t>third-party-reported</t>
        </is>
      </c>
      <c r="N37" s="13" t="n">
        <v>100</v>
      </c>
      <c r="O37" s="11" t="b">
        <v>0</v>
      </c>
      <c r="P37" s="11" t="inlineStr">
        <is>
          <t>not named</t>
        </is>
      </c>
      <c r="Q37" s="15" t="n">
        <v>46239</v>
      </c>
      <c r="R37" s="11" t="inlineStr">
        <is>
          <t>https://www.joinfound.com/</t>
        </is>
      </c>
      <c r="S37" s="11" t="inlineStr">
        <is>
          <t>https://web.archive.org/web/*/https://www.joinfound.com/</t>
        </is>
      </c>
      <c r="T37" s="8" t="inlineStr">
        <is>
          <t>The lowest advertised rate is a twelve-month plan paid up front. Month-to-month costs substantially more, and the final medication may not be tirzepatide if a clinician recommends otherwise.</t>
        </is>
      </c>
    </row>
    <row r="38" ht="42" customHeight="1" s="48">
      <c r="A38" s="11" t="inlineStr">
        <is>
          <t>Found</t>
        </is>
      </c>
      <c r="B38" s="11" t="n">
        <v>7.5</v>
      </c>
      <c r="C38" s="6" t="n">
        <v>289</v>
      </c>
      <c r="D38" s="6">
        <f>C38*12</f>
        <v/>
      </c>
      <c r="E38" s="6">
        <f>IF(C38="","",C38/(B38*4))</f>
        <v/>
      </c>
      <c r="F38" s="6" t="n">
        <v>289</v>
      </c>
      <c r="G38" s="6" t="n">
        <v>3468</v>
      </c>
      <c r="H38" s="6" t="n">
        <v>0</v>
      </c>
      <c r="I38" s="6" t="n">
        <v>169</v>
      </c>
      <c r="J38" s="11" t="inlineStr">
        <is>
          <t>12-month plan</t>
        </is>
      </c>
      <c r="K38" s="11" t="inlineStr">
        <is>
          <t>flat</t>
        </is>
      </c>
      <c r="L38" s="11" t="inlineStr">
        <is>
          <t>all-in</t>
        </is>
      </c>
      <c r="M38" s="11" t="inlineStr">
        <is>
          <t>third-party-reported</t>
        </is>
      </c>
      <c r="N38" s="13" t="n">
        <v>100</v>
      </c>
      <c r="O38" s="11" t="b">
        <v>0</v>
      </c>
      <c r="P38" s="11" t="inlineStr">
        <is>
          <t>not named</t>
        </is>
      </c>
      <c r="Q38" s="15" t="n">
        <v>46239</v>
      </c>
      <c r="R38" s="11" t="inlineStr">
        <is>
          <t>https://www.joinfound.com/</t>
        </is>
      </c>
      <c r="S38" s="11" t="inlineStr">
        <is>
          <t>https://web.archive.org/web/*/https://www.joinfound.com/</t>
        </is>
      </c>
      <c r="T38" s="8" t="inlineStr">
        <is>
          <t>The lowest advertised rate is a twelve-month plan paid up front. Month-to-month costs substantially more, and the final medication may not be tirzepatide if a clinician recommends otherwise.</t>
        </is>
      </c>
    </row>
    <row r="39" ht="42" customHeight="1" s="48">
      <c r="A39" s="11" t="inlineStr">
        <is>
          <t>Found</t>
        </is>
      </c>
      <c r="B39" s="11" t="n">
        <v>10</v>
      </c>
      <c r="C39" s="6" t="n">
        <v>289</v>
      </c>
      <c r="D39" s="6">
        <f>C39*12</f>
        <v/>
      </c>
      <c r="E39" s="6">
        <f>IF(C39="","",C39/(B39*4))</f>
        <v/>
      </c>
      <c r="F39" s="6" t="n">
        <v>289</v>
      </c>
      <c r="G39" s="6" t="n">
        <v>3468</v>
      </c>
      <c r="H39" s="6" t="n">
        <v>0</v>
      </c>
      <c r="I39" s="6" t="n">
        <v>169</v>
      </c>
      <c r="J39" s="11" t="inlineStr">
        <is>
          <t>12-month plan</t>
        </is>
      </c>
      <c r="K39" s="11" t="inlineStr">
        <is>
          <t>flat</t>
        </is>
      </c>
      <c r="L39" s="11" t="inlineStr">
        <is>
          <t>all-in</t>
        </is>
      </c>
      <c r="M39" s="11" t="inlineStr">
        <is>
          <t>third-party-reported</t>
        </is>
      </c>
      <c r="N39" s="13" t="n">
        <v>100</v>
      </c>
      <c r="O39" s="11" t="b">
        <v>0</v>
      </c>
      <c r="P39" s="11" t="inlineStr">
        <is>
          <t>not named</t>
        </is>
      </c>
      <c r="Q39" s="15" t="n">
        <v>46239</v>
      </c>
      <c r="R39" s="11" t="inlineStr">
        <is>
          <t>https://www.joinfound.com/</t>
        </is>
      </c>
      <c r="S39" s="11" t="inlineStr">
        <is>
          <t>https://web.archive.org/web/*/https://www.joinfound.com/</t>
        </is>
      </c>
      <c r="T39" s="8" t="inlineStr">
        <is>
          <t>The lowest advertised rate is a twelve-month plan paid up front. Month-to-month costs substantially more, and the final medication may not be tirzepatide if a clinician recommends otherwise.</t>
        </is>
      </c>
    </row>
    <row r="40" ht="42" customHeight="1" s="48">
      <c r="A40" s="11" t="inlineStr">
        <is>
          <t>Found</t>
        </is>
      </c>
      <c r="B40" s="11" t="n">
        <v>12.5</v>
      </c>
      <c r="C40" s="6" t="n">
        <v>289</v>
      </c>
      <c r="D40" s="6">
        <f>C40*12</f>
        <v/>
      </c>
      <c r="E40" s="6">
        <f>IF(C40="","",C40/(B40*4))</f>
        <v/>
      </c>
      <c r="F40" s="6" t="n">
        <v>289</v>
      </c>
      <c r="G40" s="6" t="n">
        <v>3468</v>
      </c>
      <c r="H40" s="6" t="n">
        <v>0</v>
      </c>
      <c r="I40" s="6" t="n">
        <v>169</v>
      </c>
      <c r="J40" s="11" t="inlineStr">
        <is>
          <t>12-month plan</t>
        </is>
      </c>
      <c r="K40" s="11" t="inlineStr">
        <is>
          <t>flat</t>
        </is>
      </c>
      <c r="L40" s="11" t="inlineStr">
        <is>
          <t>all-in</t>
        </is>
      </c>
      <c r="M40" s="11" t="inlineStr">
        <is>
          <t>third-party-reported</t>
        </is>
      </c>
      <c r="N40" s="13" t="n">
        <v>100</v>
      </c>
      <c r="O40" s="11" t="b">
        <v>0</v>
      </c>
      <c r="P40" s="11" t="inlineStr">
        <is>
          <t>not named</t>
        </is>
      </c>
      <c r="Q40" s="15" t="n">
        <v>46239</v>
      </c>
      <c r="R40" s="11" t="inlineStr">
        <is>
          <t>https://www.joinfound.com/</t>
        </is>
      </c>
      <c r="S40" s="11" t="inlineStr">
        <is>
          <t>https://web.archive.org/web/*/https://www.joinfound.com/</t>
        </is>
      </c>
      <c r="T40" s="8" t="inlineStr">
        <is>
          <t>The lowest advertised rate is a twelve-month plan paid up front. Month-to-month costs substantially more, and the final medication may not be tirzepatide if a clinician recommends otherwise.</t>
        </is>
      </c>
    </row>
    <row r="41" ht="42" customHeight="1" s="48">
      <c r="A41" s="11" t="inlineStr">
        <is>
          <t>Found</t>
        </is>
      </c>
      <c r="B41" s="11" t="n">
        <v>15</v>
      </c>
      <c r="C41" s="6" t="n">
        <v>289</v>
      </c>
      <c r="D41" s="6">
        <f>C41*12</f>
        <v/>
      </c>
      <c r="E41" s="6">
        <f>IF(C41="","",C41/(B41*4))</f>
        <v/>
      </c>
      <c r="F41" s="6" t="n">
        <v>289</v>
      </c>
      <c r="G41" s="6" t="n">
        <v>3468</v>
      </c>
      <c r="H41" s="6" t="n">
        <v>0</v>
      </c>
      <c r="I41" s="6" t="n">
        <v>169</v>
      </c>
      <c r="J41" s="11" t="inlineStr">
        <is>
          <t>12-month plan</t>
        </is>
      </c>
      <c r="K41" s="11" t="inlineStr">
        <is>
          <t>flat</t>
        </is>
      </c>
      <c r="L41" s="11" t="inlineStr">
        <is>
          <t>all-in</t>
        </is>
      </c>
      <c r="M41" s="11" t="inlineStr">
        <is>
          <t>third-party-reported</t>
        </is>
      </c>
      <c r="N41" s="13" t="n">
        <v>100</v>
      </c>
      <c r="O41" s="11" t="b">
        <v>0</v>
      </c>
      <c r="P41" s="11" t="inlineStr">
        <is>
          <t>not named</t>
        </is>
      </c>
      <c r="Q41" s="15" t="n">
        <v>46239</v>
      </c>
      <c r="R41" s="11" t="inlineStr">
        <is>
          <t>https://www.joinfound.com/</t>
        </is>
      </c>
      <c r="S41" s="11" t="inlineStr">
        <is>
          <t>https://web.archive.org/web/*/https://www.joinfound.com/</t>
        </is>
      </c>
      <c r="T41" s="8" t="inlineStr">
        <is>
          <t>The lowest advertised rate is a twelve-month plan paid up front. Month-to-month costs substantially more, and the final medication may not be tirzepatide if a clinician recommends otherwise.</t>
        </is>
      </c>
    </row>
    <row r="42" ht="28" customHeight="1" s="48">
      <c r="A42" s="11" t="inlineStr">
        <is>
          <t>SkinnyRx</t>
        </is>
      </c>
      <c r="B42" s="11" t="n">
        <v>2.5</v>
      </c>
      <c r="C42" s="6" t="n">
        <v>299</v>
      </c>
      <c r="D42" s="6">
        <f>C42*12</f>
        <v/>
      </c>
      <c r="E42" s="6">
        <f>IF(C42="","",C42/(B42*4))</f>
        <v/>
      </c>
      <c r="F42" s="6" t="n">
        <v>299</v>
      </c>
      <c r="G42" s="6" t="n">
        <v>3588</v>
      </c>
      <c r="H42" s="6" t="n">
        <v>0</v>
      </c>
      <c r="I42" s="6" t="n"/>
      <c r="J42" s="11" t="n"/>
      <c r="K42" s="11" t="inlineStr">
        <is>
          <t>flat</t>
        </is>
      </c>
      <c r="L42" s="11" t="inlineStr">
        <is>
          <t>all-in</t>
        </is>
      </c>
      <c r="M42" s="11" t="inlineStr">
        <is>
          <t>source-verified</t>
        </is>
      </c>
      <c r="N42" s="13" t="n">
        <v>100</v>
      </c>
      <c r="O42" s="11" t="b">
        <v>0</v>
      </c>
      <c r="P42" s="11" t="inlineStr">
        <is>
          <t>not named</t>
        </is>
      </c>
      <c r="Q42" s="15" t="n">
        <v>46239</v>
      </c>
      <c r="R42" s="11" t="inlineStr">
        <is>
          <t>https://skinnyrx.com/</t>
        </is>
      </c>
      <c r="S42" s="11" t="inlineStr">
        <is>
          <t>https://web.archive.org/web/*/https://skinnyrx.com/</t>
        </is>
      </c>
      <c r="T42" s="8" t="inlineStr">
        <is>
          <t>Recorded from third-party round-ups rather than a SkinnyRx pricing page we could capture.</t>
        </is>
      </c>
    </row>
    <row r="43" ht="28" customHeight="1" s="48">
      <c r="A43" s="11" t="inlineStr">
        <is>
          <t>SkinnyRx</t>
        </is>
      </c>
      <c r="B43" s="11" t="n">
        <v>5</v>
      </c>
      <c r="C43" s="6" t="n">
        <v>299</v>
      </c>
      <c r="D43" s="6">
        <f>C43*12</f>
        <v/>
      </c>
      <c r="E43" s="6">
        <f>IF(C43="","",C43/(B43*4))</f>
        <v/>
      </c>
      <c r="F43" s="6" t="n">
        <v>299</v>
      </c>
      <c r="G43" s="6" t="n">
        <v>3588</v>
      </c>
      <c r="H43" s="6" t="n">
        <v>0</v>
      </c>
      <c r="I43" s="6" t="n"/>
      <c r="J43" s="11" t="n"/>
      <c r="K43" s="11" t="inlineStr">
        <is>
          <t>flat</t>
        </is>
      </c>
      <c r="L43" s="11" t="inlineStr">
        <is>
          <t>all-in</t>
        </is>
      </c>
      <c r="M43" s="11" t="inlineStr">
        <is>
          <t>source-verified</t>
        </is>
      </c>
      <c r="N43" s="13" t="n">
        <v>100</v>
      </c>
      <c r="O43" s="11" t="b">
        <v>0</v>
      </c>
      <c r="P43" s="11" t="inlineStr">
        <is>
          <t>not named</t>
        </is>
      </c>
      <c r="Q43" s="15" t="n">
        <v>46239</v>
      </c>
      <c r="R43" s="11" t="inlineStr">
        <is>
          <t>https://skinnyrx.com/</t>
        </is>
      </c>
      <c r="S43" s="11" t="inlineStr">
        <is>
          <t>https://web.archive.org/web/*/https://skinnyrx.com/</t>
        </is>
      </c>
      <c r="T43" s="8" t="inlineStr">
        <is>
          <t>Recorded from third-party round-ups rather than a SkinnyRx pricing page we could capture.</t>
        </is>
      </c>
    </row>
    <row r="44" ht="28" customHeight="1" s="48">
      <c r="A44" s="11" t="inlineStr">
        <is>
          <t>SkinnyRx</t>
        </is>
      </c>
      <c r="B44" s="11" t="n">
        <v>7.5</v>
      </c>
      <c r="C44" s="6" t="n">
        <v>299</v>
      </c>
      <c r="D44" s="6">
        <f>C44*12</f>
        <v/>
      </c>
      <c r="E44" s="6">
        <f>IF(C44="","",C44/(B44*4))</f>
        <v/>
      </c>
      <c r="F44" s="6" t="n">
        <v>299</v>
      </c>
      <c r="G44" s="6" t="n">
        <v>3588</v>
      </c>
      <c r="H44" s="6" t="n">
        <v>0</v>
      </c>
      <c r="I44" s="6" t="n"/>
      <c r="J44" s="11" t="n"/>
      <c r="K44" s="11" t="inlineStr">
        <is>
          <t>flat</t>
        </is>
      </c>
      <c r="L44" s="11" t="inlineStr">
        <is>
          <t>all-in</t>
        </is>
      </c>
      <c r="M44" s="11" t="inlineStr">
        <is>
          <t>source-verified</t>
        </is>
      </c>
      <c r="N44" s="13" t="n">
        <v>100</v>
      </c>
      <c r="O44" s="11" t="b">
        <v>0</v>
      </c>
      <c r="P44" s="11" t="inlineStr">
        <is>
          <t>not named</t>
        </is>
      </c>
      <c r="Q44" s="15" t="n">
        <v>46239</v>
      </c>
      <c r="R44" s="11" t="inlineStr">
        <is>
          <t>https://skinnyrx.com/</t>
        </is>
      </c>
      <c r="S44" s="11" t="inlineStr">
        <is>
          <t>https://web.archive.org/web/*/https://skinnyrx.com/</t>
        </is>
      </c>
      <c r="T44" s="8" t="inlineStr">
        <is>
          <t>Recorded from third-party round-ups rather than a SkinnyRx pricing page we could capture.</t>
        </is>
      </c>
    </row>
    <row r="45" ht="28" customHeight="1" s="48">
      <c r="A45" s="11" t="inlineStr">
        <is>
          <t>SkinnyRx</t>
        </is>
      </c>
      <c r="B45" s="11" t="n">
        <v>10</v>
      </c>
      <c r="C45" s="6" t="n">
        <v>299</v>
      </c>
      <c r="D45" s="6">
        <f>C45*12</f>
        <v/>
      </c>
      <c r="E45" s="6">
        <f>IF(C45="","",C45/(B45*4))</f>
        <v/>
      </c>
      <c r="F45" s="6" t="n">
        <v>299</v>
      </c>
      <c r="G45" s="6" t="n">
        <v>3588</v>
      </c>
      <c r="H45" s="6" t="n">
        <v>0</v>
      </c>
      <c r="I45" s="6" t="n"/>
      <c r="J45" s="11" t="n"/>
      <c r="K45" s="11" t="inlineStr">
        <is>
          <t>flat</t>
        </is>
      </c>
      <c r="L45" s="11" t="inlineStr">
        <is>
          <t>all-in</t>
        </is>
      </c>
      <c r="M45" s="11" t="inlineStr">
        <is>
          <t>source-verified</t>
        </is>
      </c>
      <c r="N45" s="13" t="n">
        <v>100</v>
      </c>
      <c r="O45" s="11" t="b">
        <v>0</v>
      </c>
      <c r="P45" s="11" t="inlineStr">
        <is>
          <t>not named</t>
        </is>
      </c>
      <c r="Q45" s="15" t="n">
        <v>46239</v>
      </c>
      <c r="R45" s="11" t="inlineStr">
        <is>
          <t>https://skinnyrx.com/</t>
        </is>
      </c>
      <c r="S45" s="11" t="inlineStr">
        <is>
          <t>https://web.archive.org/web/*/https://skinnyrx.com/</t>
        </is>
      </c>
      <c r="T45" s="8" t="inlineStr">
        <is>
          <t>Recorded from third-party round-ups rather than a SkinnyRx pricing page we could capture.</t>
        </is>
      </c>
    </row>
    <row r="46" ht="28" customHeight="1" s="48">
      <c r="A46" s="11" t="inlineStr">
        <is>
          <t>SkinnyRx</t>
        </is>
      </c>
      <c r="B46" s="11" t="n">
        <v>12.5</v>
      </c>
      <c r="C46" s="6" t="n">
        <v>299</v>
      </c>
      <c r="D46" s="6">
        <f>C46*12</f>
        <v/>
      </c>
      <c r="E46" s="6">
        <f>IF(C46="","",C46/(B46*4))</f>
        <v/>
      </c>
      <c r="F46" s="6" t="n">
        <v>299</v>
      </c>
      <c r="G46" s="6" t="n">
        <v>3588</v>
      </c>
      <c r="H46" s="6" t="n">
        <v>0</v>
      </c>
      <c r="I46" s="6" t="n"/>
      <c r="J46" s="11" t="n"/>
      <c r="K46" s="11" t="inlineStr">
        <is>
          <t>flat</t>
        </is>
      </c>
      <c r="L46" s="11" t="inlineStr">
        <is>
          <t>all-in</t>
        </is>
      </c>
      <c r="M46" s="11" t="inlineStr">
        <is>
          <t>source-verified</t>
        </is>
      </c>
      <c r="N46" s="13" t="n">
        <v>100</v>
      </c>
      <c r="O46" s="11" t="b">
        <v>0</v>
      </c>
      <c r="P46" s="11" t="inlineStr">
        <is>
          <t>not named</t>
        </is>
      </c>
      <c r="Q46" s="15" t="n">
        <v>46239</v>
      </c>
      <c r="R46" s="11" t="inlineStr">
        <is>
          <t>https://skinnyrx.com/</t>
        </is>
      </c>
      <c r="S46" s="11" t="inlineStr">
        <is>
          <t>https://web.archive.org/web/*/https://skinnyrx.com/</t>
        </is>
      </c>
      <c r="T46" s="8" t="inlineStr">
        <is>
          <t>Recorded from third-party round-ups rather than a SkinnyRx pricing page we could capture.</t>
        </is>
      </c>
    </row>
    <row r="47" ht="28" customHeight="1" s="48">
      <c r="A47" s="11" t="inlineStr">
        <is>
          <t>SkinnyRx</t>
        </is>
      </c>
      <c r="B47" s="11" t="n">
        <v>15</v>
      </c>
      <c r="C47" s="6" t="n">
        <v>299</v>
      </c>
      <c r="D47" s="6">
        <f>C47*12</f>
        <v/>
      </c>
      <c r="E47" s="6">
        <f>IF(C47="","",C47/(B47*4))</f>
        <v/>
      </c>
      <c r="F47" s="6" t="n">
        <v>299</v>
      </c>
      <c r="G47" s="6" t="n">
        <v>3588</v>
      </c>
      <c r="H47" s="6" t="n">
        <v>0</v>
      </c>
      <c r="I47" s="6" t="n"/>
      <c r="J47" s="11" t="n"/>
      <c r="K47" s="11" t="inlineStr">
        <is>
          <t>flat</t>
        </is>
      </c>
      <c r="L47" s="11" t="inlineStr">
        <is>
          <t>all-in</t>
        </is>
      </c>
      <c r="M47" s="11" t="inlineStr">
        <is>
          <t>source-verified</t>
        </is>
      </c>
      <c r="N47" s="13" t="n">
        <v>100</v>
      </c>
      <c r="O47" s="11" t="b">
        <v>0</v>
      </c>
      <c r="P47" s="11" t="inlineStr">
        <is>
          <t>not named</t>
        </is>
      </c>
      <c r="Q47" s="15" t="n">
        <v>46239</v>
      </c>
      <c r="R47" s="11" t="inlineStr">
        <is>
          <t>https://skinnyrx.com/</t>
        </is>
      </c>
      <c r="S47" s="11" t="inlineStr">
        <is>
          <t>https://web.archive.org/web/*/https://skinnyrx.com/</t>
        </is>
      </c>
      <c r="T47" s="8" t="inlineStr">
        <is>
          <t>Recorded from third-party round-ups rather than a SkinnyRx pricing page we could capture.</t>
        </is>
      </c>
    </row>
    <row r="48">
      <c r="A48" s="11" t="inlineStr">
        <is>
          <t>Amble Health</t>
        </is>
      </c>
      <c r="B48" s="11" t="n">
        <v>2.5</v>
      </c>
      <c r="C48" s="6" t="n">
        <v>300</v>
      </c>
      <c r="D48" s="6">
        <f>C48*12</f>
        <v/>
      </c>
      <c r="E48" s="6">
        <f>IF(C48="","",C48/(B48*4))</f>
        <v/>
      </c>
      <c r="F48" s="6" t="n">
        <v>300</v>
      </c>
      <c r="G48" s="6" t="n">
        <v>3600</v>
      </c>
      <c r="H48" s="6" t="n">
        <v>0</v>
      </c>
      <c r="I48" s="6" t="n"/>
      <c r="J48" s="11" t="n"/>
      <c r="K48" s="11" t="inlineStr">
        <is>
          <t>flat</t>
        </is>
      </c>
      <c r="L48" s="11" t="inlineStr">
        <is>
          <t>all-in</t>
        </is>
      </c>
      <c r="M48" s="11" t="inlineStr">
        <is>
          <t>third-party-reported</t>
        </is>
      </c>
      <c r="N48" s="13" t="n">
        <v>75</v>
      </c>
      <c r="O48" s="11" t="b">
        <v>0</v>
      </c>
      <c r="P48" s="11" t="n"/>
      <c r="Q48" s="15" t="n">
        <v>46239</v>
      </c>
      <c r="R48" s="11" t="n"/>
      <c r="S48" s="11" t="n"/>
      <c r="T48" s="8" t="n"/>
    </row>
    <row r="49">
      <c r="A49" s="11" t="inlineStr">
        <is>
          <t>Amble Health</t>
        </is>
      </c>
      <c r="B49" s="11" t="n">
        <v>5</v>
      </c>
      <c r="C49" s="6" t="n">
        <v>300</v>
      </c>
      <c r="D49" s="6">
        <f>C49*12</f>
        <v/>
      </c>
      <c r="E49" s="6">
        <f>IF(C49="","",C49/(B49*4))</f>
        <v/>
      </c>
      <c r="F49" s="6" t="n">
        <v>300</v>
      </c>
      <c r="G49" s="6" t="n">
        <v>3600</v>
      </c>
      <c r="H49" s="6" t="n">
        <v>0</v>
      </c>
      <c r="I49" s="6" t="n"/>
      <c r="J49" s="11" t="n"/>
      <c r="K49" s="11" t="inlineStr">
        <is>
          <t>flat</t>
        </is>
      </c>
      <c r="L49" s="11" t="inlineStr">
        <is>
          <t>all-in</t>
        </is>
      </c>
      <c r="M49" s="11" t="inlineStr">
        <is>
          <t>third-party-reported</t>
        </is>
      </c>
      <c r="N49" s="13" t="n">
        <v>75</v>
      </c>
      <c r="O49" s="11" t="b">
        <v>0</v>
      </c>
      <c r="P49" s="11" t="n"/>
      <c r="Q49" s="15" t="n">
        <v>46239</v>
      </c>
      <c r="R49" s="11" t="n"/>
      <c r="S49" s="11" t="n"/>
      <c r="T49" s="8" t="n"/>
    </row>
    <row r="50">
      <c r="A50" s="11" t="inlineStr">
        <is>
          <t>Amble Health</t>
        </is>
      </c>
      <c r="B50" s="11" t="n">
        <v>7.5</v>
      </c>
      <c r="C50" s="6" t="n">
        <v>300</v>
      </c>
      <c r="D50" s="6">
        <f>C50*12</f>
        <v/>
      </c>
      <c r="E50" s="6">
        <f>IF(C50="","",C50/(B50*4))</f>
        <v/>
      </c>
      <c r="F50" s="6" t="n">
        <v>300</v>
      </c>
      <c r="G50" s="6" t="n">
        <v>3600</v>
      </c>
      <c r="H50" s="6" t="n">
        <v>0</v>
      </c>
      <c r="I50" s="6" t="n"/>
      <c r="J50" s="11" t="n"/>
      <c r="K50" s="11" t="inlineStr">
        <is>
          <t>flat</t>
        </is>
      </c>
      <c r="L50" s="11" t="inlineStr">
        <is>
          <t>all-in</t>
        </is>
      </c>
      <c r="M50" s="11" t="inlineStr">
        <is>
          <t>third-party-reported</t>
        </is>
      </c>
      <c r="N50" s="13" t="n">
        <v>75</v>
      </c>
      <c r="O50" s="11" t="b">
        <v>0</v>
      </c>
      <c r="P50" s="11" t="n"/>
      <c r="Q50" s="15" t="n">
        <v>46239</v>
      </c>
      <c r="R50" s="11" t="n"/>
      <c r="S50" s="11" t="n"/>
      <c r="T50" s="8" t="n"/>
    </row>
    <row r="51">
      <c r="A51" s="11" t="inlineStr">
        <is>
          <t>Amble Health</t>
        </is>
      </c>
      <c r="B51" s="11" t="n">
        <v>10</v>
      </c>
      <c r="C51" s="6" t="n">
        <v>300</v>
      </c>
      <c r="D51" s="6">
        <f>C51*12</f>
        <v/>
      </c>
      <c r="E51" s="6">
        <f>IF(C51="","",C51/(B51*4))</f>
        <v/>
      </c>
      <c r="F51" s="6" t="n">
        <v>300</v>
      </c>
      <c r="G51" s="6" t="n">
        <v>3600</v>
      </c>
      <c r="H51" s="6" t="n">
        <v>0</v>
      </c>
      <c r="I51" s="6" t="n"/>
      <c r="J51" s="11" t="n"/>
      <c r="K51" s="11" t="inlineStr">
        <is>
          <t>flat</t>
        </is>
      </c>
      <c r="L51" s="11" t="inlineStr">
        <is>
          <t>all-in</t>
        </is>
      </c>
      <c r="M51" s="11" t="inlineStr">
        <is>
          <t>third-party-reported</t>
        </is>
      </c>
      <c r="N51" s="13" t="n">
        <v>75</v>
      </c>
      <c r="O51" s="11" t="b">
        <v>0</v>
      </c>
      <c r="P51" s="11" t="n"/>
      <c r="Q51" s="15" t="n">
        <v>46239</v>
      </c>
      <c r="R51" s="11" t="n"/>
      <c r="S51" s="11" t="n"/>
      <c r="T51" s="8" t="n"/>
    </row>
    <row r="52">
      <c r="A52" s="11" t="inlineStr">
        <is>
          <t>Amble Health</t>
        </is>
      </c>
      <c r="B52" s="11" t="n">
        <v>12.5</v>
      </c>
      <c r="C52" s="6" t="n">
        <v>300</v>
      </c>
      <c r="D52" s="6">
        <f>C52*12</f>
        <v/>
      </c>
      <c r="E52" s="6">
        <f>IF(C52="","",C52/(B52*4))</f>
        <v/>
      </c>
      <c r="F52" s="6" t="n">
        <v>300</v>
      </c>
      <c r="G52" s="6" t="n">
        <v>3600</v>
      </c>
      <c r="H52" s="6" t="n">
        <v>0</v>
      </c>
      <c r="I52" s="6" t="n"/>
      <c r="J52" s="11" t="n"/>
      <c r="K52" s="11" t="inlineStr">
        <is>
          <t>flat</t>
        </is>
      </c>
      <c r="L52" s="11" t="inlineStr">
        <is>
          <t>all-in</t>
        </is>
      </c>
      <c r="M52" s="11" t="inlineStr">
        <is>
          <t>third-party-reported</t>
        </is>
      </c>
      <c r="N52" s="13" t="n">
        <v>75</v>
      </c>
      <c r="O52" s="11" t="b">
        <v>0</v>
      </c>
      <c r="P52" s="11" t="n"/>
      <c r="Q52" s="15" t="n">
        <v>46239</v>
      </c>
      <c r="R52" s="11" t="n"/>
      <c r="S52" s="11" t="n"/>
      <c r="T52" s="8" t="n"/>
    </row>
    <row r="53">
      <c r="A53" s="11" t="inlineStr">
        <is>
          <t>Amble Health</t>
        </is>
      </c>
      <c r="B53" s="11" t="n">
        <v>15</v>
      </c>
      <c r="C53" s="6" t="n">
        <v>300</v>
      </c>
      <c r="D53" s="6">
        <f>C53*12</f>
        <v/>
      </c>
      <c r="E53" s="6">
        <f>IF(C53="","",C53/(B53*4))</f>
        <v/>
      </c>
      <c r="F53" s="6" t="n">
        <v>300</v>
      </c>
      <c r="G53" s="6" t="n">
        <v>3600</v>
      </c>
      <c r="H53" s="6" t="n">
        <v>0</v>
      </c>
      <c r="I53" s="6" t="n"/>
      <c r="J53" s="11" t="n"/>
      <c r="K53" s="11" t="inlineStr">
        <is>
          <t>flat</t>
        </is>
      </c>
      <c r="L53" s="11" t="inlineStr">
        <is>
          <t>all-in</t>
        </is>
      </c>
      <c r="M53" s="11" t="inlineStr">
        <is>
          <t>third-party-reported</t>
        </is>
      </c>
      <c r="N53" s="13" t="n">
        <v>75</v>
      </c>
      <c r="O53" s="11" t="b">
        <v>0</v>
      </c>
      <c r="P53" s="11" t="n"/>
      <c r="Q53" s="15" t="n">
        <v>46239</v>
      </c>
      <c r="R53" s="11" t="n"/>
      <c r="S53" s="11" t="n"/>
      <c r="T53" s="8" t="n"/>
    </row>
    <row r="54" ht="42" customHeight="1" s="48">
      <c r="A54" s="11" t="inlineStr">
        <is>
          <t>Lavender Sky Health</t>
        </is>
      </c>
      <c r="B54" s="11" t="n">
        <v>2.5</v>
      </c>
      <c r="C54" s="6" t="n">
        <v>200</v>
      </c>
      <c r="D54" s="6">
        <f>C54*12</f>
        <v/>
      </c>
      <c r="E54" s="6">
        <f>IF(C54="","",C54/(B54*4))</f>
        <v/>
      </c>
      <c r="F54" s="6" t="n">
        <v>200</v>
      </c>
      <c r="G54" s="6" t="n">
        <v>3971</v>
      </c>
      <c r="H54" s="6" t="n">
        <v>25</v>
      </c>
      <c r="I54" s="6" t="n"/>
      <c r="J54" s="11" t="n"/>
      <c r="K54" s="11" t="inlineStr">
        <is>
          <t>scaled</t>
        </is>
      </c>
      <c r="L54" s="11" t="inlineStr">
        <is>
          <t>split</t>
        </is>
      </c>
      <c r="M54" s="11" t="inlineStr">
        <is>
          <t>source-verified</t>
        </is>
      </c>
      <c r="N54" s="13" t="n">
        <v>25</v>
      </c>
      <c r="O54" s="11" t="b">
        <v>0</v>
      </c>
      <c r="P54" s="11" t="n"/>
      <c r="Q54" s="15" t="n">
        <v>46239</v>
      </c>
      <c r="R54" s="11" t="inlineStr">
        <is>
          <t>https://lavenderskyhealth.com/treatment-plan-pricing/</t>
        </is>
      </c>
      <c r="S54" s="11" t="inlineStr">
        <is>
          <t>https://web.archive.org/web/*/https://lavenderskyhealth.com/treatment-plan-pricing/</t>
        </is>
      </c>
      <c r="T54" s="8" t="inlineStr">
        <is>
          <t>A monthly treatment plan fee is charged on top of medication, and pricing is tiered by vial rather than by weekly dose, so a monthly figure is an approximation.</t>
        </is>
      </c>
    </row>
    <row r="55" ht="42" customHeight="1" s="48">
      <c r="A55" s="11" t="inlineStr">
        <is>
          <t>Lavender Sky Health</t>
        </is>
      </c>
      <c r="B55" s="11" t="n">
        <v>5</v>
      </c>
      <c r="C55" s="6" t="n">
        <v>251</v>
      </c>
      <c r="D55" s="6">
        <f>C55*12</f>
        <v/>
      </c>
      <c r="E55" s="6">
        <f>IF(C55="","",C55/(B55*4))</f>
        <v/>
      </c>
      <c r="F55" s="6" t="n">
        <v>200</v>
      </c>
      <c r="G55" s="6" t="n">
        <v>3971</v>
      </c>
      <c r="H55" s="6" t="n">
        <v>25</v>
      </c>
      <c r="I55" s="6" t="n"/>
      <c r="J55" s="11" t="n"/>
      <c r="K55" s="11" t="inlineStr">
        <is>
          <t>scaled</t>
        </is>
      </c>
      <c r="L55" s="11" t="inlineStr">
        <is>
          <t>split</t>
        </is>
      </c>
      <c r="M55" s="11" t="inlineStr">
        <is>
          <t>source-verified</t>
        </is>
      </c>
      <c r="N55" s="13" t="n">
        <v>25</v>
      </c>
      <c r="O55" s="11" t="b">
        <v>0</v>
      </c>
      <c r="P55" s="11" t="n"/>
      <c r="Q55" s="15" t="n">
        <v>46239</v>
      </c>
      <c r="R55" s="11" t="inlineStr">
        <is>
          <t>https://lavenderskyhealth.com/treatment-plan-pricing/</t>
        </is>
      </c>
      <c r="S55" s="11" t="inlineStr">
        <is>
          <t>https://web.archive.org/web/*/https://lavenderskyhealth.com/treatment-plan-pricing/</t>
        </is>
      </c>
      <c r="T55" s="8" t="inlineStr">
        <is>
          <t>A monthly treatment plan fee is charged on top of medication, and pricing is tiered by vial rather than by weekly dose, so a monthly figure is an approximation.</t>
        </is>
      </c>
    </row>
    <row r="56" ht="42" customHeight="1" s="48">
      <c r="A56" s="11" t="inlineStr">
        <is>
          <t>Lavender Sky Health</t>
        </is>
      </c>
      <c r="B56" s="11" t="n">
        <v>7.5</v>
      </c>
      <c r="C56" s="6" t="n">
        <v>302</v>
      </c>
      <c r="D56" s="6">
        <f>C56*12</f>
        <v/>
      </c>
      <c r="E56" s="6">
        <f>IF(C56="","",C56/(B56*4))</f>
        <v/>
      </c>
      <c r="F56" s="6" t="n">
        <v>200</v>
      </c>
      <c r="G56" s="6" t="n">
        <v>3971</v>
      </c>
      <c r="H56" s="6" t="n">
        <v>25</v>
      </c>
      <c r="I56" s="6" t="n"/>
      <c r="J56" s="11" t="n"/>
      <c r="K56" s="11" t="inlineStr">
        <is>
          <t>scaled</t>
        </is>
      </c>
      <c r="L56" s="11" t="inlineStr">
        <is>
          <t>split</t>
        </is>
      </c>
      <c r="M56" s="11" t="inlineStr">
        <is>
          <t>source-verified</t>
        </is>
      </c>
      <c r="N56" s="13" t="n">
        <v>25</v>
      </c>
      <c r="O56" s="11" t="b">
        <v>0</v>
      </c>
      <c r="P56" s="11" t="n"/>
      <c r="Q56" s="15" t="n">
        <v>46239</v>
      </c>
      <c r="R56" s="11" t="inlineStr">
        <is>
          <t>https://lavenderskyhealth.com/treatment-plan-pricing/</t>
        </is>
      </c>
      <c r="S56" s="11" t="inlineStr">
        <is>
          <t>https://web.archive.org/web/*/https://lavenderskyhealth.com/treatment-plan-pricing/</t>
        </is>
      </c>
      <c r="T56" s="8" t="inlineStr">
        <is>
          <t>A monthly treatment plan fee is charged on top of medication, and pricing is tiered by vial rather than by weekly dose, so a monthly figure is an approximation.</t>
        </is>
      </c>
    </row>
    <row r="57" ht="42" customHeight="1" s="48">
      <c r="A57" s="11" t="inlineStr">
        <is>
          <t>Lavender Sky Health</t>
        </is>
      </c>
      <c r="B57" s="11" t="n">
        <v>10</v>
      </c>
      <c r="C57" s="6" t="n">
        <v>352</v>
      </c>
      <c r="D57" s="6">
        <f>C57*12</f>
        <v/>
      </c>
      <c r="E57" s="6">
        <f>IF(C57="","",C57/(B57*4))</f>
        <v/>
      </c>
      <c r="F57" s="6" t="n">
        <v>200</v>
      </c>
      <c r="G57" s="6" t="n">
        <v>3971</v>
      </c>
      <c r="H57" s="6" t="n">
        <v>25</v>
      </c>
      <c r="I57" s="6" t="n"/>
      <c r="J57" s="11" t="n"/>
      <c r="K57" s="11" t="inlineStr">
        <is>
          <t>scaled</t>
        </is>
      </c>
      <c r="L57" s="11" t="inlineStr">
        <is>
          <t>split</t>
        </is>
      </c>
      <c r="M57" s="11" t="inlineStr">
        <is>
          <t>source-verified</t>
        </is>
      </c>
      <c r="N57" s="13" t="n">
        <v>25</v>
      </c>
      <c r="O57" s="11" t="b">
        <v>0</v>
      </c>
      <c r="P57" s="11" t="n"/>
      <c r="Q57" s="15" t="n">
        <v>46239</v>
      </c>
      <c r="R57" s="11" t="inlineStr">
        <is>
          <t>https://lavenderskyhealth.com/treatment-plan-pricing/</t>
        </is>
      </c>
      <c r="S57" s="11" t="inlineStr">
        <is>
          <t>https://web.archive.org/web/*/https://lavenderskyhealth.com/treatment-plan-pricing/</t>
        </is>
      </c>
      <c r="T57" s="8" t="inlineStr">
        <is>
          <t>A monthly treatment plan fee is charged on top of medication, and pricing is tiered by vial rather than by weekly dose, so a monthly figure is an approximation.</t>
        </is>
      </c>
    </row>
    <row r="58" ht="42" customHeight="1" s="48">
      <c r="A58" s="11" t="inlineStr">
        <is>
          <t>Lavender Sky Health</t>
        </is>
      </c>
      <c r="B58" s="11" t="n">
        <v>12.5</v>
      </c>
      <c r="C58" s="6" t="n">
        <v>403</v>
      </c>
      <c r="D58" s="6">
        <f>C58*12</f>
        <v/>
      </c>
      <c r="E58" s="6">
        <f>IF(C58="","",C58/(B58*4))</f>
        <v/>
      </c>
      <c r="F58" s="6" t="n">
        <v>200</v>
      </c>
      <c r="G58" s="6" t="n">
        <v>3971</v>
      </c>
      <c r="H58" s="6" t="n">
        <v>25</v>
      </c>
      <c r="I58" s="6" t="n"/>
      <c r="J58" s="11" t="n"/>
      <c r="K58" s="11" t="inlineStr">
        <is>
          <t>scaled</t>
        </is>
      </c>
      <c r="L58" s="11" t="inlineStr">
        <is>
          <t>split</t>
        </is>
      </c>
      <c r="M58" s="11" t="inlineStr">
        <is>
          <t>source-verified</t>
        </is>
      </c>
      <c r="N58" s="13" t="n">
        <v>25</v>
      </c>
      <c r="O58" s="11" t="b">
        <v>0</v>
      </c>
      <c r="P58" s="11" t="n"/>
      <c r="Q58" s="15" t="n">
        <v>46239</v>
      </c>
      <c r="R58" s="11" t="inlineStr">
        <is>
          <t>https://lavenderskyhealth.com/treatment-plan-pricing/</t>
        </is>
      </c>
      <c r="S58" s="11" t="inlineStr">
        <is>
          <t>https://web.archive.org/web/*/https://lavenderskyhealth.com/treatment-plan-pricing/</t>
        </is>
      </c>
      <c r="T58" s="8" t="inlineStr">
        <is>
          <t>A monthly treatment plan fee is charged on top of medication, and pricing is tiered by vial rather than by weekly dose, so a monthly figure is an approximation.</t>
        </is>
      </c>
    </row>
    <row r="59" ht="42" customHeight="1" s="48">
      <c r="A59" s="11" t="inlineStr">
        <is>
          <t>Lavender Sky Health</t>
        </is>
      </c>
      <c r="B59" s="11" t="n">
        <v>15</v>
      </c>
      <c r="C59" s="6" t="n">
        <v>454</v>
      </c>
      <c r="D59" s="6">
        <f>C59*12</f>
        <v/>
      </c>
      <c r="E59" s="6">
        <f>IF(C59="","",C59/(B59*4))</f>
        <v/>
      </c>
      <c r="F59" s="6" t="n">
        <v>200</v>
      </c>
      <c r="G59" s="6" t="n">
        <v>3971</v>
      </c>
      <c r="H59" s="6" t="n">
        <v>25</v>
      </c>
      <c r="I59" s="6" t="n"/>
      <c r="J59" s="11" t="n"/>
      <c r="K59" s="11" t="inlineStr">
        <is>
          <t>scaled</t>
        </is>
      </c>
      <c r="L59" s="11" t="inlineStr">
        <is>
          <t>split</t>
        </is>
      </c>
      <c r="M59" s="11" t="inlineStr">
        <is>
          <t>source-verified</t>
        </is>
      </c>
      <c r="N59" s="13" t="n">
        <v>25</v>
      </c>
      <c r="O59" s="11" t="b">
        <v>0</v>
      </c>
      <c r="P59" s="11" t="n"/>
      <c r="Q59" s="15" t="n">
        <v>46239</v>
      </c>
      <c r="R59" s="11" t="inlineStr">
        <is>
          <t>https://lavenderskyhealth.com/treatment-plan-pricing/</t>
        </is>
      </c>
      <c r="S59" s="11" t="inlineStr">
        <is>
          <t>https://web.archive.org/web/*/https://lavenderskyhealth.com/treatment-plan-pricing/</t>
        </is>
      </c>
      <c r="T59" s="8" t="inlineStr">
        <is>
          <t>A monthly treatment plan fee is charged on top of medication, and pricing is tiered by vial rather than by weekly dose, so a monthly figure is an approximation.</t>
        </is>
      </c>
    </row>
    <row r="60" ht="28" customHeight="1" s="48">
      <c r="A60" s="11" t="inlineStr">
        <is>
          <t>Henry Meds</t>
        </is>
      </c>
      <c r="B60" s="11" t="n">
        <v>2.5</v>
      </c>
      <c r="C60" s="6" t="n">
        <v>349</v>
      </c>
      <c r="D60" s="6">
        <f>C60*12</f>
        <v/>
      </c>
      <c r="E60" s="6">
        <f>IF(C60="","",C60/(B60*4))</f>
        <v/>
      </c>
      <c r="F60" s="6" t="n">
        <v>349</v>
      </c>
      <c r="G60" s="6" t="n">
        <v>4188</v>
      </c>
      <c r="H60" s="6" t="n">
        <v>0</v>
      </c>
      <c r="I60" s="6" t="n">
        <v>297</v>
      </c>
      <c r="J60" s="11" t="inlineStr">
        <is>
          <t>3-month supply paid in full</t>
        </is>
      </c>
      <c r="K60" s="11" t="inlineStr">
        <is>
          <t>flat</t>
        </is>
      </c>
      <c r="L60" s="11" t="inlineStr">
        <is>
          <t>all-in</t>
        </is>
      </c>
      <c r="M60" s="11" t="inlineStr">
        <is>
          <t>third-party-reported</t>
        </is>
      </c>
      <c r="N60" s="13" t="n">
        <v>100</v>
      </c>
      <c r="O60" s="11" t="b">
        <v>0</v>
      </c>
      <c r="P60" s="11" t="inlineStr">
        <is>
          <t>not named</t>
        </is>
      </c>
      <c r="Q60" s="15" t="n">
        <v>46239</v>
      </c>
      <c r="R60" s="11" t="inlineStr">
        <is>
          <t>https://henrymeds.com/</t>
        </is>
      </c>
      <c r="S60" s="11" t="inlineStr">
        <is>
          <t>https://web.archive.org/web/*/https://henrymeds.com/</t>
        </is>
      </c>
      <c r="T60" s="8" t="inlineStr">
        <is>
          <t>Advertised as a 'from' price, and the month-to-month rate is materially higher than the prepaid one. Confirm which you are being quoted.</t>
        </is>
      </c>
    </row>
    <row r="61" ht="28" customHeight="1" s="48">
      <c r="A61" s="11" t="inlineStr">
        <is>
          <t>Henry Meds</t>
        </is>
      </c>
      <c r="B61" s="11" t="n">
        <v>5</v>
      </c>
      <c r="C61" s="6" t="n">
        <v>349</v>
      </c>
      <c r="D61" s="6">
        <f>C61*12</f>
        <v/>
      </c>
      <c r="E61" s="6">
        <f>IF(C61="","",C61/(B61*4))</f>
        <v/>
      </c>
      <c r="F61" s="6" t="n">
        <v>349</v>
      </c>
      <c r="G61" s="6" t="n">
        <v>4188</v>
      </c>
      <c r="H61" s="6" t="n">
        <v>0</v>
      </c>
      <c r="I61" s="6" t="n">
        <v>297</v>
      </c>
      <c r="J61" s="11" t="inlineStr">
        <is>
          <t>3-month supply paid in full</t>
        </is>
      </c>
      <c r="K61" s="11" t="inlineStr">
        <is>
          <t>flat</t>
        </is>
      </c>
      <c r="L61" s="11" t="inlineStr">
        <is>
          <t>all-in</t>
        </is>
      </c>
      <c r="M61" s="11" t="inlineStr">
        <is>
          <t>third-party-reported</t>
        </is>
      </c>
      <c r="N61" s="13" t="n">
        <v>100</v>
      </c>
      <c r="O61" s="11" t="b">
        <v>0</v>
      </c>
      <c r="P61" s="11" t="inlineStr">
        <is>
          <t>not named</t>
        </is>
      </c>
      <c r="Q61" s="15" t="n">
        <v>46239</v>
      </c>
      <c r="R61" s="11" t="inlineStr">
        <is>
          <t>https://henrymeds.com/</t>
        </is>
      </c>
      <c r="S61" s="11" t="inlineStr">
        <is>
          <t>https://web.archive.org/web/*/https://henrymeds.com/</t>
        </is>
      </c>
      <c r="T61" s="8" t="inlineStr">
        <is>
          <t>Advertised as a 'from' price, and the month-to-month rate is materially higher than the prepaid one. Confirm which you are being quoted.</t>
        </is>
      </c>
    </row>
    <row r="62" ht="28" customHeight="1" s="48">
      <c r="A62" s="11" t="inlineStr">
        <is>
          <t>Henry Meds</t>
        </is>
      </c>
      <c r="B62" s="11" t="n">
        <v>7.5</v>
      </c>
      <c r="C62" s="6" t="n">
        <v>349</v>
      </c>
      <c r="D62" s="6">
        <f>C62*12</f>
        <v/>
      </c>
      <c r="E62" s="6">
        <f>IF(C62="","",C62/(B62*4))</f>
        <v/>
      </c>
      <c r="F62" s="6" t="n">
        <v>349</v>
      </c>
      <c r="G62" s="6" t="n">
        <v>4188</v>
      </c>
      <c r="H62" s="6" t="n">
        <v>0</v>
      </c>
      <c r="I62" s="6" t="n">
        <v>297</v>
      </c>
      <c r="J62" s="11" t="inlineStr">
        <is>
          <t>3-month supply paid in full</t>
        </is>
      </c>
      <c r="K62" s="11" t="inlineStr">
        <is>
          <t>flat</t>
        </is>
      </c>
      <c r="L62" s="11" t="inlineStr">
        <is>
          <t>all-in</t>
        </is>
      </c>
      <c r="M62" s="11" t="inlineStr">
        <is>
          <t>third-party-reported</t>
        </is>
      </c>
      <c r="N62" s="13" t="n">
        <v>100</v>
      </c>
      <c r="O62" s="11" t="b">
        <v>0</v>
      </c>
      <c r="P62" s="11" t="inlineStr">
        <is>
          <t>not named</t>
        </is>
      </c>
      <c r="Q62" s="15" t="n">
        <v>46239</v>
      </c>
      <c r="R62" s="11" t="inlineStr">
        <is>
          <t>https://henrymeds.com/</t>
        </is>
      </c>
      <c r="S62" s="11" t="inlineStr">
        <is>
          <t>https://web.archive.org/web/*/https://henrymeds.com/</t>
        </is>
      </c>
      <c r="T62" s="8" t="inlineStr">
        <is>
          <t>Advertised as a 'from' price, and the month-to-month rate is materially higher than the prepaid one. Confirm which you are being quoted.</t>
        </is>
      </c>
    </row>
    <row r="63" ht="28" customHeight="1" s="48">
      <c r="A63" s="11" t="inlineStr">
        <is>
          <t>Henry Meds</t>
        </is>
      </c>
      <c r="B63" s="11" t="n">
        <v>10</v>
      </c>
      <c r="C63" s="6" t="n">
        <v>349</v>
      </c>
      <c r="D63" s="6">
        <f>C63*12</f>
        <v/>
      </c>
      <c r="E63" s="6">
        <f>IF(C63="","",C63/(B63*4))</f>
        <v/>
      </c>
      <c r="F63" s="6" t="n">
        <v>349</v>
      </c>
      <c r="G63" s="6" t="n">
        <v>4188</v>
      </c>
      <c r="H63" s="6" t="n">
        <v>0</v>
      </c>
      <c r="I63" s="6" t="n">
        <v>297</v>
      </c>
      <c r="J63" s="11" t="inlineStr">
        <is>
          <t>3-month supply paid in full</t>
        </is>
      </c>
      <c r="K63" s="11" t="inlineStr">
        <is>
          <t>flat</t>
        </is>
      </c>
      <c r="L63" s="11" t="inlineStr">
        <is>
          <t>all-in</t>
        </is>
      </c>
      <c r="M63" s="11" t="inlineStr">
        <is>
          <t>third-party-reported</t>
        </is>
      </c>
      <c r="N63" s="13" t="n">
        <v>100</v>
      </c>
      <c r="O63" s="11" t="b">
        <v>0</v>
      </c>
      <c r="P63" s="11" t="inlineStr">
        <is>
          <t>not named</t>
        </is>
      </c>
      <c r="Q63" s="15" t="n">
        <v>46239</v>
      </c>
      <c r="R63" s="11" t="inlineStr">
        <is>
          <t>https://henrymeds.com/</t>
        </is>
      </c>
      <c r="S63" s="11" t="inlineStr">
        <is>
          <t>https://web.archive.org/web/*/https://henrymeds.com/</t>
        </is>
      </c>
      <c r="T63" s="8" t="inlineStr">
        <is>
          <t>Advertised as a 'from' price, and the month-to-month rate is materially higher than the prepaid one. Confirm which you are being quoted.</t>
        </is>
      </c>
    </row>
    <row r="64" ht="28" customHeight="1" s="48">
      <c r="A64" s="11" t="inlineStr">
        <is>
          <t>Henry Meds</t>
        </is>
      </c>
      <c r="B64" s="11" t="n">
        <v>12.5</v>
      </c>
      <c r="C64" s="6" t="n">
        <v>349</v>
      </c>
      <c r="D64" s="6">
        <f>C64*12</f>
        <v/>
      </c>
      <c r="E64" s="6">
        <f>IF(C64="","",C64/(B64*4))</f>
        <v/>
      </c>
      <c r="F64" s="6" t="n">
        <v>349</v>
      </c>
      <c r="G64" s="6" t="n">
        <v>4188</v>
      </c>
      <c r="H64" s="6" t="n">
        <v>0</v>
      </c>
      <c r="I64" s="6" t="n">
        <v>297</v>
      </c>
      <c r="J64" s="11" t="inlineStr">
        <is>
          <t>3-month supply paid in full</t>
        </is>
      </c>
      <c r="K64" s="11" t="inlineStr">
        <is>
          <t>flat</t>
        </is>
      </c>
      <c r="L64" s="11" t="inlineStr">
        <is>
          <t>all-in</t>
        </is>
      </c>
      <c r="M64" s="11" t="inlineStr">
        <is>
          <t>third-party-reported</t>
        </is>
      </c>
      <c r="N64" s="13" t="n">
        <v>100</v>
      </c>
      <c r="O64" s="11" t="b">
        <v>0</v>
      </c>
      <c r="P64" s="11" t="inlineStr">
        <is>
          <t>not named</t>
        </is>
      </c>
      <c r="Q64" s="15" t="n">
        <v>46239</v>
      </c>
      <c r="R64" s="11" t="inlineStr">
        <is>
          <t>https://henrymeds.com/</t>
        </is>
      </c>
      <c r="S64" s="11" t="inlineStr">
        <is>
          <t>https://web.archive.org/web/*/https://henrymeds.com/</t>
        </is>
      </c>
      <c r="T64" s="8" t="inlineStr">
        <is>
          <t>Advertised as a 'from' price, and the month-to-month rate is materially higher than the prepaid one. Confirm which you are being quoted.</t>
        </is>
      </c>
    </row>
    <row r="65" ht="28" customHeight="1" s="48">
      <c r="A65" s="11" t="inlineStr">
        <is>
          <t>Henry Meds</t>
        </is>
      </c>
      <c r="B65" s="11" t="n">
        <v>15</v>
      </c>
      <c r="C65" s="6" t="n">
        <v>349</v>
      </c>
      <c r="D65" s="6">
        <f>C65*12</f>
        <v/>
      </c>
      <c r="E65" s="6">
        <f>IF(C65="","",C65/(B65*4))</f>
        <v/>
      </c>
      <c r="F65" s="6" t="n">
        <v>349</v>
      </c>
      <c r="G65" s="6" t="n">
        <v>4188</v>
      </c>
      <c r="H65" s="6" t="n">
        <v>0</v>
      </c>
      <c r="I65" s="6" t="n">
        <v>297</v>
      </c>
      <c r="J65" s="11" t="inlineStr">
        <is>
          <t>3-month supply paid in full</t>
        </is>
      </c>
      <c r="K65" s="11" t="inlineStr">
        <is>
          <t>flat</t>
        </is>
      </c>
      <c r="L65" s="11" t="inlineStr">
        <is>
          <t>all-in</t>
        </is>
      </c>
      <c r="M65" s="11" t="inlineStr">
        <is>
          <t>third-party-reported</t>
        </is>
      </c>
      <c r="N65" s="13" t="n">
        <v>100</v>
      </c>
      <c r="O65" s="11" t="b">
        <v>0</v>
      </c>
      <c r="P65" s="11" t="inlineStr">
        <is>
          <t>not named</t>
        </is>
      </c>
      <c r="Q65" s="15" t="n">
        <v>46239</v>
      </c>
      <c r="R65" s="11" t="inlineStr">
        <is>
          <t>https://henrymeds.com/</t>
        </is>
      </c>
      <c r="S65" s="11" t="inlineStr">
        <is>
          <t>https://web.archive.org/web/*/https://henrymeds.com/</t>
        </is>
      </c>
      <c r="T65" s="8" t="inlineStr">
        <is>
          <t>Advertised as a 'from' price, and the month-to-month rate is materially higher than the prepaid one. Confirm which you are being quoted.</t>
        </is>
      </c>
    </row>
    <row r="66" ht="42" customHeight="1" s="48">
      <c r="A66" s="11" t="inlineStr">
        <is>
          <t>TrimRx</t>
        </is>
      </c>
      <c r="B66" s="11" t="n">
        <v>2.5</v>
      </c>
      <c r="C66" s="6" t="n">
        <v>349</v>
      </c>
      <c r="D66" s="6">
        <f>C66*12</f>
        <v/>
      </c>
      <c r="E66" s="6">
        <f>IF(C66="","",C66/(B66*4))</f>
        <v/>
      </c>
      <c r="F66" s="6" t="n">
        <v>349</v>
      </c>
      <c r="G66" s="6" t="n">
        <v>4188</v>
      </c>
      <c r="H66" s="6" t="n">
        <v>0</v>
      </c>
      <c r="I66" s="6" t="n">
        <v>293</v>
      </c>
      <c r="J66" s="11" t="inlineStr">
        <is>
          <t>12-month plan</t>
        </is>
      </c>
      <c r="K66" s="11" t="inlineStr">
        <is>
          <t>flat</t>
        </is>
      </c>
      <c r="L66" s="11" t="inlineStr">
        <is>
          <t>all-in</t>
        </is>
      </c>
      <c r="M66" s="11" t="inlineStr">
        <is>
          <t>source-verified</t>
        </is>
      </c>
      <c r="N66" s="13" t="n">
        <v>100</v>
      </c>
      <c r="O66" s="11" t="b">
        <v>0</v>
      </c>
      <c r="P66" s="11" t="inlineStr">
        <is>
          <t>not named</t>
        </is>
      </c>
      <c r="Q66" s="15" t="n">
        <v>46239</v>
      </c>
      <c r="R66" s="11" t="inlineStr">
        <is>
          <t>https://trimrx.com/</t>
        </is>
      </c>
      <c r="S66" s="11" t="inlineStr">
        <is>
          <t>https://web.archive.org/web/*/https://trimrx.com/</t>
        </is>
      </c>
      <c r="T66" s="8" t="inlineStr">
        <is>
          <t>Recorded from third-party round-ups rather than a TrimRx pricing page. Check terms before prepaying; the published figure may be a promotional or committed-term rate.</t>
        </is>
      </c>
    </row>
    <row r="67" ht="42" customHeight="1" s="48">
      <c r="A67" s="11" t="inlineStr">
        <is>
          <t>TrimRx</t>
        </is>
      </c>
      <c r="B67" s="11" t="n">
        <v>5</v>
      </c>
      <c r="C67" s="6" t="n">
        <v>349</v>
      </c>
      <c r="D67" s="6">
        <f>C67*12</f>
        <v/>
      </c>
      <c r="E67" s="6">
        <f>IF(C67="","",C67/(B67*4))</f>
        <v/>
      </c>
      <c r="F67" s="6" t="n">
        <v>349</v>
      </c>
      <c r="G67" s="6" t="n">
        <v>4188</v>
      </c>
      <c r="H67" s="6" t="n">
        <v>0</v>
      </c>
      <c r="I67" s="6" t="n">
        <v>293</v>
      </c>
      <c r="J67" s="11" t="inlineStr">
        <is>
          <t>12-month plan</t>
        </is>
      </c>
      <c r="K67" s="11" t="inlineStr">
        <is>
          <t>flat</t>
        </is>
      </c>
      <c r="L67" s="11" t="inlineStr">
        <is>
          <t>all-in</t>
        </is>
      </c>
      <c r="M67" s="11" t="inlineStr">
        <is>
          <t>source-verified</t>
        </is>
      </c>
      <c r="N67" s="13" t="n">
        <v>100</v>
      </c>
      <c r="O67" s="11" t="b">
        <v>0</v>
      </c>
      <c r="P67" s="11" t="inlineStr">
        <is>
          <t>not named</t>
        </is>
      </c>
      <c r="Q67" s="15" t="n">
        <v>46239</v>
      </c>
      <c r="R67" s="11" t="inlineStr">
        <is>
          <t>https://trimrx.com/</t>
        </is>
      </c>
      <c r="S67" s="11" t="inlineStr">
        <is>
          <t>https://web.archive.org/web/*/https://trimrx.com/</t>
        </is>
      </c>
      <c r="T67" s="8" t="inlineStr">
        <is>
          <t>Recorded from third-party round-ups rather than a TrimRx pricing page. Check terms before prepaying; the published figure may be a promotional or committed-term rate.</t>
        </is>
      </c>
    </row>
    <row r="68" ht="42" customHeight="1" s="48">
      <c r="A68" s="11" t="inlineStr">
        <is>
          <t>TrimRx</t>
        </is>
      </c>
      <c r="B68" s="11" t="n">
        <v>7.5</v>
      </c>
      <c r="C68" s="6" t="n">
        <v>349</v>
      </c>
      <c r="D68" s="6">
        <f>C68*12</f>
        <v/>
      </c>
      <c r="E68" s="6">
        <f>IF(C68="","",C68/(B68*4))</f>
        <v/>
      </c>
      <c r="F68" s="6" t="n">
        <v>349</v>
      </c>
      <c r="G68" s="6" t="n">
        <v>4188</v>
      </c>
      <c r="H68" s="6" t="n">
        <v>0</v>
      </c>
      <c r="I68" s="6" t="n">
        <v>293</v>
      </c>
      <c r="J68" s="11" t="inlineStr">
        <is>
          <t>12-month plan</t>
        </is>
      </c>
      <c r="K68" s="11" t="inlineStr">
        <is>
          <t>flat</t>
        </is>
      </c>
      <c r="L68" s="11" t="inlineStr">
        <is>
          <t>all-in</t>
        </is>
      </c>
      <c r="M68" s="11" t="inlineStr">
        <is>
          <t>source-verified</t>
        </is>
      </c>
      <c r="N68" s="13" t="n">
        <v>100</v>
      </c>
      <c r="O68" s="11" t="b">
        <v>0</v>
      </c>
      <c r="P68" s="11" t="inlineStr">
        <is>
          <t>not named</t>
        </is>
      </c>
      <c r="Q68" s="15" t="n">
        <v>46239</v>
      </c>
      <c r="R68" s="11" t="inlineStr">
        <is>
          <t>https://trimrx.com/</t>
        </is>
      </c>
      <c r="S68" s="11" t="inlineStr">
        <is>
          <t>https://web.archive.org/web/*/https://trimrx.com/</t>
        </is>
      </c>
      <c r="T68" s="8" t="inlineStr">
        <is>
          <t>Recorded from third-party round-ups rather than a TrimRx pricing page. Check terms before prepaying; the published figure may be a promotional or committed-term rate.</t>
        </is>
      </c>
    </row>
    <row r="69" ht="42" customHeight="1" s="48">
      <c r="A69" s="11" t="inlineStr">
        <is>
          <t>TrimRx</t>
        </is>
      </c>
      <c r="B69" s="11" t="n">
        <v>10</v>
      </c>
      <c r="C69" s="6" t="n">
        <v>349</v>
      </c>
      <c r="D69" s="6">
        <f>C69*12</f>
        <v/>
      </c>
      <c r="E69" s="6">
        <f>IF(C69="","",C69/(B69*4))</f>
        <v/>
      </c>
      <c r="F69" s="6" t="n">
        <v>349</v>
      </c>
      <c r="G69" s="6" t="n">
        <v>4188</v>
      </c>
      <c r="H69" s="6" t="n">
        <v>0</v>
      </c>
      <c r="I69" s="6" t="n">
        <v>293</v>
      </c>
      <c r="J69" s="11" t="inlineStr">
        <is>
          <t>12-month plan</t>
        </is>
      </c>
      <c r="K69" s="11" t="inlineStr">
        <is>
          <t>flat</t>
        </is>
      </c>
      <c r="L69" s="11" t="inlineStr">
        <is>
          <t>all-in</t>
        </is>
      </c>
      <c r="M69" s="11" t="inlineStr">
        <is>
          <t>source-verified</t>
        </is>
      </c>
      <c r="N69" s="13" t="n">
        <v>100</v>
      </c>
      <c r="O69" s="11" t="b">
        <v>0</v>
      </c>
      <c r="P69" s="11" t="inlineStr">
        <is>
          <t>not named</t>
        </is>
      </c>
      <c r="Q69" s="15" t="n">
        <v>46239</v>
      </c>
      <c r="R69" s="11" t="inlineStr">
        <is>
          <t>https://trimrx.com/</t>
        </is>
      </c>
      <c r="S69" s="11" t="inlineStr">
        <is>
          <t>https://web.archive.org/web/*/https://trimrx.com/</t>
        </is>
      </c>
      <c r="T69" s="8" t="inlineStr">
        <is>
          <t>Recorded from third-party round-ups rather than a TrimRx pricing page. Check terms before prepaying; the published figure may be a promotional or committed-term rate.</t>
        </is>
      </c>
    </row>
    <row r="70" ht="42" customHeight="1" s="48">
      <c r="A70" s="11" t="inlineStr">
        <is>
          <t>TrimRx</t>
        </is>
      </c>
      <c r="B70" s="11" t="n">
        <v>12.5</v>
      </c>
      <c r="C70" s="6" t="n">
        <v>349</v>
      </c>
      <c r="D70" s="6">
        <f>C70*12</f>
        <v/>
      </c>
      <c r="E70" s="6">
        <f>IF(C70="","",C70/(B70*4))</f>
        <v/>
      </c>
      <c r="F70" s="6" t="n">
        <v>349</v>
      </c>
      <c r="G70" s="6" t="n">
        <v>4188</v>
      </c>
      <c r="H70" s="6" t="n">
        <v>0</v>
      </c>
      <c r="I70" s="6" t="n">
        <v>293</v>
      </c>
      <c r="J70" s="11" t="inlineStr">
        <is>
          <t>12-month plan</t>
        </is>
      </c>
      <c r="K70" s="11" t="inlineStr">
        <is>
          <t>flat</t>
        </is>
      </c>
      <c r="L70" s="11" t="inlineStr">
        <is>
          <t>all-in</t>
        </is>
      </c>
      <c r="M70" s="11" t="inlineStr">
        <is>
          <t>source-verified</t>
        </is>
      </c>
      <c r="N70" s="13" t="n">
        <v>100</v>
      </c>
      <c r="O70" s="11" t="b">
        <v>0</v>
      </c>
      <c r="P70" s="11" t="inlineStr">
        <is>
          <t>not named</t>
        </is>
      </c>
      <c r="Q70" s="15" t="n">
        <v>46239</v>
      </c>
      <c r="R70" s="11" t="inlineStr">
        <is>
          <t>https://trimrx.com/</t>
        </is>
      </c>
      <c r="S70" s="11" t="inlineStr">
        <is>
          <t>https://web.archive.org/web/*/https://trimrx.com/</t>
        </is>
      </c>
      <c r="T70" s="8" t="inlineStr">
        <is>
          <t>Recorded from third-party round-ups rather than a TrimRx pricing page. Check terms before prepaying; the published figure may be a promotional or committed-term rate.</t>
        </is>
      </c>
    </row>
    <row r="71" ht="42" customHeight="1" s="48">
      <c r="A71" s="11" t="inlineStr">
        <is>
          <t>TrimRx</t>
        </is>
      </c>
      <c r="B71" s="11" t="n">
        <v>15</v>
      </c>
      <c r="C71" s="6" t="n">
        <v>349</v>
      </c>
      <c r="D71" s="6">
        <f>C71*12</f>
        <v/>
      </c>
      <c r="E71" s="6">
        <f>IF(C71="","",C71/(B71*4))</f>
        <v/>
      </c>
      <c r="F71" s="6" t="n">
        <v>349</v>
      </c>
      <c r="G71" s="6" t="n">
        <v>4188</v>
      </c>
      <c r="H71" s="6" t="n">
        <v>0</v>
      </c>
      <c r="I71" s="6" t="n">
        <v>293</v>
      </c>
      <c r="J71" s="11" t="inlineStr">
        <is>
          <t>12-month plan</t>
        </is>
      </c>
      <c r="K71" s="11" t="inlineStr">
        <is>
          <t>flat</t>
        </is>
      </c>
      <c r="L71" s="11" t="inlineStr">
        <is>
          <t>all-in</t>
        </is>
      </c>
      <c r="M71" s="11" t="inlineStr">
        <is>
          <t>source-verified</t>
        </is>
      </c>
      <c r="N71" s="13" t="n">
        <v>100</v>
      </c>
      <c r="O71" s="11" t="b">
        <v>0</v>
      </c>
      <c r="P71" s="11" t="inlineStr">
        <is>
          <t>not named</t>
        </is>
      </c>
      <c r="Q71" s="15" t="n">
        <v>46239</v>
      </c>
      <c r="R71" s="11" t="inlineStr">
        <is>
          <t>https://trimrx.com/</t>
        </is>
      </c>
      <c r="S71" s="11" t="inlineStr">
        <is>
          <t>https://web.archive.org/web/*/https://trimrx.com/</t>
        </is>
      </c>
      <c r="T71" s="8" t="inlineStr">
        <is>
          <t>Recorded from third-party round-ups rather than a TrimRx pricing page. Check terms before prepaying; the published figure may be a promotional or committed-term rate.</t>
        </is>
      </c>
    </row>
    <row r="72" ht="28" customHeight="1" s="48">
      <c r="A72" s="11" t="inlineStr">
        <is>
          <t>Join Fridays</t>
        </is>
      </c>
      <c r="B72" s="11" t="n">
        <v>2.5</v>
      </c>
      <c r="C72" s="6" t="n">
        <v>359</v>
      </c>
      <c r="D72" s="6">
        <f>C72*12</f>
        <v/>
      </c>
      <c r="E72" s="6">
        <f>IF(C72="","",C72/(B72*4))</f>
        <v/>
      </c>
      <c r="F72" s="6" t="n">
        <v>359</v>
      </c>
      <c r="G72" s="6" t="n">
        <v>4308</v>
      </c>
      <c r="H72" s="6" t="n">
        <v>0</v>
      </c>
      <c r="I72" s="6" t="n">
        <v>240</v>
      </c>
      <c r="J72" s="11" t="inlineStr">
        <is>
          <t>annual plan</t>
        </is>
      </c>
      <c r="K72" s="11" t="inlineStr">
        <is>
          <t>flat</t>
        </is>
      </c>
      <c r="L72" s="11" t="inlineStr">
        <is>
          <t>all-in</t>
        </is>
      </c>
      <c r="M72" s="11" t="inlineStr">
        <is>
          <t>third-party-reported</t>
        </is>
      </c>
      <c r="N72" s="13" t="n">
        <v>75</v>
      </c>
      <c r="O72" s="11" t="b">
        <v>0</v>
      </c>
      <c r="P72" s="11" t="n"/>
      <c r="Q72" s="15" t="n">
        <v>46239</v>
      </c>
      <c r="R72" s="11" t="n"/>
      <c r="S72" s="11" t="n"/>
      <c r="T72" s="8" t="inlineStr">
        <is>
          <t>Recorded from third-party round-ups; we could not capture a figure on Fridays' own pricing page. Treat as indicative and confirm at checkout.</t>
        </is>
      </c>
    </row>
    <row r="73" ht="28" customHeight="1" s="48">
      <c r="A73" s="11" t="inlineStr">
        <is>
          <t>Join Fridays</t>
        </is>
      </c>
      <c r="B73" s="11" t="n">
        <v>5</v>
      </c>
      <c r="C73" s="6" t="n">
        <v>359</v>
      </c>
      <c r="D73" s="6">
        <f>C73*12</f>
        <v/>
      </c>
      <c r="E73" s="6">
        <f>IF(C73="","",C73/(B73*4))</f>
        <v/>
      </c>
      <c r="F73" s="6" t="n">
        <v>359</v>
      </c>
      <c r="G73" s="6" t="n">
        <v>4308</v>
      </c>
      <c r="H73" s="6" t="n">
        <v>0</v>
      </c>
      <c r="I73" s="6" t="n">
        <v>240</v>
      </c>
      <c r="J73" s="11" t="inlineStr">
        <is>
          <t>annual plan</t>
        </is>
      </c>
      <c r="K73" s="11" t="inlineStr">
        <is>
          <t>flat</t>
        </is>
      </c>
      <c r="L73" s="11" t="inlineStr">
        <is>
          <t>all-in</t>
        </is>
      </c>
      <c r="M73" s="11" t="inlineStr">
        <is>
          <t>third-party-reported</t>
        </is>
      </c>
      <c r="N73" s="13" t="n">
        <v>75</v>
      </c>
      <c r="O73" s="11" t="b">
        <v>0</v>
      </c>
      <c r="P73" s="11" t="n"/>
      <c r="Q73" s="15" t="n">
        <v>46239</v>
      </c>
      <c r="R73" s="11" t="n"/>
      <c r="S73" s="11" t="n"/>
      <c r="T73" s="8" t="inlineStr">
        <is>
          <t>Recorded from third-party round-ups; we could not capture a figure on Fridays' own pricing page. Treat as indicative and confirm at checkout.</t>
        </is>
      </c>
    </row>
    <row r="74" ht="28" customHeight="1" s="48">
      <c r="A74" s="11" t="inlineStr">
        <is>
          <t>Join Fridays</t>
        </is>
      </c>
      <c r="B74" s="11" t="n">
        <v>7.5</v>
      </c>
      <c r="C74" s="6" t="n">
        <v>359</v>
      </c>
      <c r="D74" s="6">
        <f>C74*12</f>
        <v/>
      </c>
      <c r="E74" s="6">
        <f>IF(C74="","",C74/(B74*4))</f>
        <v/>
      </c>
      <c r="F74" s="6" t="n">
        <v>359</v>
      </c>
      <c r="G74" s="6" t="n">
        <v>4308</v>
      </c>
      <c r="H74" s="6" t="n">
        <v>0</v>
      </c>
      <c r="I74" s="6" t="n">
        <v>240</v>
      </c>
      <c r="J74" s="11" t="inlineStr">
        <is>
          <t>annual plan</t>
        </is>
      </c>
      <c r="K74" s="11" t="inlineStr">
        <is>
          <t>flat</t>
        </is>
      </c>
      <c r="L74" s="11" t="inlineStr">
        <is>
          <t>all-in</t>
        </is>
      </c>
      <c r="M74" s="11" t="inlineStr">
        <is>
          <t>third-party-reported</t>
        </is>
      </c>
      <c r="N74" s="13" t="n">
        <v>75</v>
      </c>
      <c r="O74" s="11" t="b">
        <v>0</v>
      </c>
      <c r="P74" s="11" t="n"/>
      <c r="Q74" s="15" t="n">
        <v>46239</v>
      </c>
      <c r="R74" s="11" t="n"/>
      <c r="S74" s="11" t="n"/>
      <c r="T74" s="8" t="inlineStr">
        <is>
          <t>Recorded from third-party round-ups; we could not capture a figure on Fridays' own pricing page. Treat as indicative and confirm at checkout.</t>
        </is>
      </c>
    </row>
    <row r="75" ht="28" customHeight="1" s="48">
      <c r="A75" s="11" t="inlineStr">
        <is>
          <t>Join Fridays</t>
        </is>
      </c>
      <c r="B75" s="11" t="n">
        <v>10</v>
      </c>
      <c r="C75" s="6" t="n">
        <v>359</v>
      </c>
      <c r="D75" s="6">
        <f>C75*12</f>
        <v/>
      </c>
      <c r="E75" s="6">
        <f>IF(C75="","",C75/(B75*4))</f>
        <v/>
      </c>
      <c r="F75" s="6" t="n">
        <v>359</v>
      </c>
      <c r="G75" s="6" t="n">
        <v>4308</v>
      </c>
      <c r="H75" s="6" t="n">
        <v>0</v>
      </c>
      <c r="I75" s="6" t="n">
        <v>240</v>
      </c>
      <c r="J75" s="11" t="inlineStr">
        <is>
          <t>annual plan</t>
        </is>
      </c>
      <c r="K75" s="11" t="inlineStr">
        <is>
          <t>flat</t>
        </is>
      </c>
      <c r="L75" s="11" t="inlineStr">
        <is>
          <t>all-in</t>
        </is>
      </c>
      <c r="M75" s="11" t="inlineStr">
        <is>
          <t>third-party-reported</t>
        </is>
      </c>
      <c r="N75" s="13" t="n">
        <v>75</v>
      </c>
      <c r="O75" s="11" t="b">
        <v>0</v>
      </c>
      <c r="P75" s="11" t="n"/>
      <c r="Q75" s="15" t="n">
        <v>46239</v>
      </c>
      <c r="R75" s="11" t="n"/>
      <c r="S75" s="11" t="n"/>
      <c r="T75" s="8" t="inlineStr">
        <is>
          <t>Recorded from third-party round-ups; we could not capture a figure on Fridays' own pricing page. Treat as indicative and confirm at checkout.</t>
        </is>
      </c>
    </row>
    <row r="76" ht="28" customHeight="1" s="48">
      <c r="A76" s="11" t="inlineStr">
        <is>
          <t>Join Fridays</t>
        </is>
      </c>
      <c r="B76" s="11" t="n">
        <v>12.5</v>
      </c>
      <c r="C76" s="6" t="n">
        <v>359</v>
      </c>
      <c r="D76" s="6">
        <f>C76*12</f>
        <v/>
      </c>
      <c r="E76" s="6">
        <f>IF(C76="","",C76/(B76*4))</f>
        <v/>
      </c>
      <c r="F76" s="6" t="n">
        <v>359</v>
      </c>
      <c r="G76" s="6" t="n">
        <v>4308</v>
      </c>
      <c r="H76" s="6" t="n">
        <v>0</v>
      </c>
      <c r="I76" s="6" t="n">
        <v>240</v>
      </c>
      <c r="J76" s="11" t="inlineStr">
        <is>
          <t>annual plan</t>
        </is>
      </c>
      <c r="K76" s="11" t="inlineStr">
        <is>
          <t>flat</t>
        </is>
      </c>
      <c r="L76" s="11" t="inlineStr">
        <is>
          <t>all-in</t>
        </is>
      </c>
      <c r="M76" s="11" t="inlineStr">
        <is>
          <t>third-party-reported</t>
        </is>
      </c>
      <c r="N76" s="13" t="n">
        <v>75</v>
      </c>
      <c r="O76" s="11" t="b">
        <v>0</v>
      </c>
      <c r="P76" s="11" t="n"/>
      <c r="Q76" s="15" t="n">
        <v>46239</v>
      </c>
      <c r="R76" s="11" t="n"/>
      <c r="S76" s="11" t="n"/>
      <c r="T76" s="8" t="inlineStr">
        <is>
          <t>Recorded from third-party round-ups; we could not capture a figure on Fridays' own pricing page. Treat as indicative and confirm at checkout.</t>
        </is>
      </c>
    </row>
    <row r="77" ht="28" customHeight="1" s="48">
      <c r="A77" s="11" t="inlineStr">
        <is>
          <t>Join Fridays</t>
        </is>
      </c>
      <c r="B77" s="11" t="n">
        <v>15</v>
      </c>
      <c r="C77" s="6" t="n">
        <v>359</v>
      </c>
      <c r="D77" s="6">
        <f>C77*12</f>
        <v/>
      </c>
      <c r="E77" s="6">
        <f>IF(C77="","",C77/(B77*4))</f>
        <v/>
      </c>
      <c r="F77" s="6" t="n">
        <v>359</v>
      </c>
      <c r="G77" s="6" t="n">
        <v>4308</v>
      </c>
      <c r="H77" s="6" t="n">
        <v>0</v>
      </c>
      <c r="I77" s="6" t="n">
        <v>240</v>
      </c>
      <c r="J77" s="11" t="inlineStr">
        <is>
          <t>annual plan</t>
        </is>
      </c>
      <c r="K77" s="11" t="inlineStr">
        <is>
          <t>flat</t>
        </is>
      </c>
      <c r="L77" s="11" t="inlineStr">
        <is>
          <t>all-in</t>
        </is>
      </c>
      <c r="M77" s="11" t="inlineStr">
        <is>
          <t>third-party-reported</t>
        </is>
      </c>
      <c r="N77" s="13" t="n">
        <v>75</v>
      </c>
      <c r="O77" s="11" t="b">
        <v>0</v>
      </c>
      <c r="P77" s="11" t="n"/>
      <c r="Q77" s="15" t="n">
        <v>46239</v>
      </c>
      <c r="R77" s="11" t="n"/>
      <c r="S77" s="11" t="n"/>
      <c r="T77" s="8" t="inlineStr">
        <is>
          <t>Recorded from third-party round-ups; we could not capture a figure on Fridays' own pricing page. Treat as indicative and confirm at checkout.</t>
        </is>
      </c>
    </row>
    <row r="78" ht="42" customHeight="1" s="48">
      <c r="A78" s="11" t="inlineStr">
        <is>
          <t>MEDVi</t>
        </is>
      </c>
      <c r="B78" s="11" t="n">
        <v>2.5</v>
      </c>
      <c r="C78" s="6" t="n">
        <v>399</v>
      </c>
      <c r="D78" s="6">
        <f>C78*12</f>
        <v/>
      </c>
      <c r="E78" s="6">
        <f>IF(C78="","",C78/(B78*4))</f>
        <v/>
      </c>
      <c r="F78" s="6" t="n">
        <v>399</v>
      </c>
      <c r="G78" s="6" t="n">
        <v>4788</v>
      </c>
      <c r="H78" s="6" t="n">
        <v>0</v>
      </c>
      <c r="I78" s="6" t="n">
        <v>249</v>
      </c>
      <c r="J78" s="11" t="n"/>
      <c r="K78" s="11" t="inlineStr">
        <is>
          <t>flat</t>
        </is>
      </c>
      <c r="L78" s="11" t="inlineStr">
        <is>
          <t>all-in</t>
        </is>
      </c>
      <c r="M78" s="11" t="inlineStr">
        <is>
          <t>source-verified</t>
        </is>
      </c>
      <c r="N78" s="13" t="n">
        <v>100</v>
      </c>
      <c r="O78" s="11" t="b">
        <v>0</v>
      </c>
      <c r="P78" s="11" t="inlineStr">
        <is>
          <t>not named</t>
        </is>
      </c>
      <c r="Q78" s="15" t="n">
        <v>46239</v>
      </c>
      <c r="R78" s="11" t="inlineStr">
        <is>
          <t>https://medvi.org/</t>
        </is>
      </c>
      <c r="S78" s="11" t="inlineStr">
        <is>
          <t>https://web.archive.org/web/*/https://medvi.org/</t>
        </is>
      </c>
      <c r="T78" s="8" t="inlineStr">
        <is>
          <t>Advertised as a 'starting at' price. Other formats and higher doses cost more, and the brand pill route is priced as a membership plus medication cost rather than all-in.</t>
        </is>
      </c>
    </row>
    <row r="79" ht="42" customHeight="1" s="48">
      <c r="A79" s="11" t="inlineStr">
        <is>
          <t>MEDVi</t>
        </is>
      </c>
      <c r="B79" s="11" t="n">
        <v>5</v>
      </c>
      <c r="C79" s="6" t="n">
        <v>399</v>
      </c>
      <c r="D79" s="6">
        <f>C79*12</f>
        <v/>
      </c>
      <c r="E79" s="6">
        <f>IF(C79="","",C79/(B79*4))</f>
        <v/>
      </c>
      <c r="F79" s="6" t="n">
        <v>399</v>
      </c>
      <c r="G79" s="6" t="n">
        <v>4788</v>
      </c>
      <c r="H79" s="6" t="n">
        <v>0</v>
      </c>
      <c r="I79" s="6" t="n">
        <v>249</v>
      </c>
      <c r="J79" s="11" t="n"/>
      <c r="K79" s="11" t="inlineStr">
        <is>
          <t>flat</t>
        </is>
      </c>
      <c r="L79" s="11" t="inlineStr">
        <is>
          <t>all-in</t>
        </is>
      </c>
      <c r="M79" s="11" t="inlineStr">
        <is>
          <t>source-verified</t>
        </is>
      </c>
      <c r="N79" s="13" t="n">
        <v>100</v>
      </c>
      <c r="O79" s="11" t="b">
        <v>0</v>
      </c>
      <c r="P79" s="11" t="inlineStr">
        <is>
          <t>not named</t>
        </is>
      </c>
      <c r="Q79" s="15" t="n">
        <v>46239</v>
      </c>
      <c r="R79" s="11" t="inlineStr">
        <is>
          <t>https://medvi.org/</t>
        </is>
      </c>
      <c r="S79" s="11" t="inlineStr">
        <is>
          <t>https://web.archive.org/web/*/https://medvi.org/</t>
        </is>
      </c>
      <c r="T79" s="8" t="inlineStr">
        <is>
          <t>Advertised as a 'starting at' price. Other formats and higher doses cost more, and the brand pill route is priced as a membership plus medication cost rather than all-in.</t>
        </is>
      </c>
    </row>
    <row r="80" ht="42" customHeight="1" s="48">
      <c r="A80" s="11" t="inlineStr">
        <is>
          <t>MEDVi</t>
        </is>
      </c>
      <c r="B80" s="11" t="n">
        <v>7.5</v>
      </c>
      <c r="C80" s="6" t="n">
        <v>399</v>
      </c>
      <c r="D80" s="6">
        <f>C80*12</f>
        <v/>
      </c>
      <c r="E80" s="6">
        <f>IF(C80="","",C80/(B80*4))</f>
        <v/>
      </c>
      <c r="F80" s="6" t="n">
        <v>399</v>
      </c>
      <c r="G80" s="6" t="n">
        <v>4788</v>
      </c>
      <c r="H80" s="6" t="n">
        <v>0</v>
      </c>
      <c r="I80" s="6" t="n">
        <v>249</v>
      </c>
      <c r="J80" s="11" t="n"/>
      <c r="K80" s="11" t="inlineStr">
        <is>
          <t>flat</t>
        </is>
      </c>
      <c r="L80" s="11" t="inlineStr">
        <is>
          <t>all-in</t>
        </is>
      </c>
      <c r="M80" s="11" t="inlineStr">
        <is>
          <t>source-verified</t>
        </is>
      </c>
      <c r="N80" s="13" t="n">
        <v>100</v>
      </c>
      <c r="O80" s="11" t="b">
        <v>0</v>
      </c>
      <c r="P80" s="11" t="inlineStr">
        <is>
          <t>not named</t>
        </is>
      </c>
      <c r="Q80" s="15" t="n">
        <v>46239</v>
      </c>
      <c r="R80" s="11" t="inlineStr">
        <is>
          <t>https://medvi.org/</t>
        </is>
      </c>
      <c r="S80" s="11" t="inlineStr">
        <is>
          <t>https://web.archive.org/web/*/https://medvi.org/</t>
        </is>
      </c>
      <c r="T80" s="8" t="inlineStr">
        <is>
          <t>Advertised as a 'starting at' price. Other formats and higher doses cost more, and the brand pill route is priced as a membership plus medication cost rather than all-in.</t>
        </is>
      </c>
    </row>
    <row r="81" ht="42" customHeight="1" s="48">
      <c r="A81" s="11" t="inlineStr">
        <is>
          <t>MEDVi</t>
        </is>
      </c>
      <c r="B81" s="11" t="n">
        <v>10</v>
      </c>
      <c r="C81" s="6" t="n">
        <v>399</v>
      </c>
      <c r="D81" s="6">
        <f>C81*12</f>
        <v/>
      </c>
      <c r="E81" s="6">
        <f>IF(C81="","",C81/(B81*4))</f>
        <v/>
      </c>
      <c r="F81" s="6" t="n">
        <v>399</v>
      </c>
      <c r="G81" s="6" t="n">
        <v>4788</v>
      </c>
      <c r="H81" s="6" t="n">
        <v>0</v>
      </c>
      <c r="I81" s="6" t="n">
        <v>249</v>
      </c>
      <c r="J81" s="11" t="n"/>
      <c r="K81" s="11" t="inlineStr">
        <is>
          <t>flat</t>
        </is>
      </c>
      <c r="L81" s="11" t="inlineStr">
        <is>
          <t>all-in</t>
        </is>
      </c>
      <c r="M81" s="11" t="inlineStr">
        <is>
          <t>source-verified</t>
        </is>
      </c>
      <c r="N81" s="13" t="n">
        <v>100</v>
      </c>
      <c r="O81" s="11" t="b">
        <v>0</v>
      </c>
      <c r="P81" s="11" t="inlineStr">
        <is>
          <t>not named</t>
        </is>
      </c>
      <c r="Q81" s="15" t="n">
        <v>46239</v>
      </c>
      <c r="R81" s="11" t="inlineStr">
        <is>
          <t>https://medvi.org/</t>
        </is>
      </c>
      <c r="S81" s="11" t="inlineStr">
        <is>
          <t>https://web.archive.org/web/*/https://medvi.org/</t>
        </is>
      </c>
      <c r="T81" s="8" t="inlineStr">
        <is>
          <t>Advertised as a 'starting at' price. Other formats and higher doses cost more, and the brand pill route is priced as a membership plus medication cost rather than all-in.</t>
        </is>
      </c>
    </row>
    <row r="82" ht="42" customHeight="1" s="48">
      <c r="A82" s="11" t="inlineStr">
        <is>
          <t>MEDVi</t>
        </is>
      </c>
      <c r="B82" s="11" t="n">
        <v>12.5</v>
      </c>
      <c r="C82" s="6" t="n">
        <v>399</v>
      </c>
      <c r="D82" s="6">
        <f>C82*12</f>
        <v/>
      </c>
      <c r="E82" s="6">
        <f>IF(C82="","",C82/(B82*4))</f>
        <v/>
      </c>
      <c r="F82" s="6" t="n">
        <v>399</v>
      </c>
      <c r="G82" s="6" t="n">
        <v>4788</v>
      </c>
      <c r="H82" s="6" t="n">
        <v>0</v>
      </c>
      <c r="I82" s="6" t="n">
        <v>249</v>
      </c>
      <c r="J82" s="11" t="n"/>
      <c r="K82" s="11" t="inlineStr">
        <is>
          <t>flat</t>
        </is>
      </c>
      <c r="L82" s="11" t="inlineStr">
        <is>
          <t>all-in</t>
        </is>
      </c>
      <c r="M82" s="11" t="inlineStr">
        <is>
          <t>source-verified</t>
        </is>
      </c>
      <c r="N82" s="13" t="n">
        <v>100</v>
      </c>
      <c r="O82" s="11" t="b">
        <v>0</v>
      </c>
      <c r="P82" s="11" t="inlineStr">
        <is>
          <t>not named</t>
        </is>
      </c>
      <c r="Q82" s="15" t="n">
        <v>46239</v>
      </c>
      <c r="R82" s="11" t="inlineStr">
        <is>
          <t>https://medvi.org/</t>
        </is>
      </c>
      <c r="S82" s="11" t="inlineStr">
        <is>
          <t>https://web.archive.org/web/*/https://medvi.org/</t>
        </is>
      </c>
      <c r="T82" s="8" t="inlineStr">
        <is>
          <t>Advertised as a 'starting at' price. Other formats and higher doses cost more, and the brand pill route is priced as a membership plus medication cost rather than all-in.</t>
        </is>
      </c>
    </row>
    <row r="83" ht="42" customHeight="1" s="48">
      <c r="A83" s="11" t="inlineStr">
        <is>
          <t>MEDVi</t>
        </is>
      </c>
      <c r="B83" s="11" t="n">
        <v>15</v>
      </c>
      <c r="C83" s="6" t="n">
        <v>399</v>
      </c>
      <c r="D83" s="6">
        <f>C83*12</f>
        <v/>
      </c>
      <c r="E83" s="6">
        <f>IF(C83="","",C83/(B83*4))</f>
        <v/>
      </c>
      <c r="F83" s="6" t="n">
        <v>399</v>
      </c>
      <c r="G83" s="6" t="n">
        <v>4788</v>
      </c>
      <c r="H83" s="6" t="n">
        <v>0</v>
      </c>
      <c r="I83" s="6" t="n">
        <v>249</v>
      </c>
      <c r="J83" s="11" t="n"/>
      <c r="K83" s="11" t="inlineStr">
        <is>
          <t>flat</t>
        </is>
      </c>
      <c r="L83" s="11" t="inlineStr">
        <is>
          <t>all-in</t>
        </is>
      </c>
      <c r="M83" s="11" t="inlineStr">
        <is>
          <t>source-verified</t>
        </is>
      </c>
      <c r="N83" s="13" t="n">
        <v>100</v>
      </c>
      <c r="O83" s="11" t="b">
        <v>0</v>
      </c>
      <c r="P83" s="11" t="inlineStr">
        <is>
          <t>not named</t>
        </is>
      </c>
      <c r="Q83" s="15" t="n">
        <v>46239</v>
      </c>
      <c r="R83" s="11" t="inlineStr">
        <is>
          <t>https://medvi.org/</t>
        </is>
      </c>
      <c r="S83" s="11" t="inlineStr">
        <is>
          <t>https://web.archive.org/web/*/https://medvi.org/</t>
        </is>
      </c>
      <c r="T83" s="8" t="inlineStr">
        <is>
          <t>Advertised as a 'starting at' price. Other formats and higher doses cost more, and the brand pill route is priced as a membership plus medication cost rather than all-in.</t>
        </is>
      </c>
    </row>
    <row r="84">
      <c r="A84" s="11" t="inlineStr">
        <is>
          <t>Remedy Meds</t>
        </is>
      </c>
      <c r="B84" s="11" t="n">
        <v>2.5</v>
      </c>
      <c r="C84" s="6" t="n">
        <v>399</v>
      </c>
      <c r="D84" s="6">
        <f>C84*12</f>
        <v/>
      </c>
      <c r="E84" s="6">
        <f>IF(C84="","",C84/(B84*4))</f>
        <v/>
      </c>
      <c r="F84" s="6" t="n">
        <v>399</v>
      </c>
      <c r="G84" s="6" t="n">
        <v>4788</v>
      </c>
      <c r="H84" s="6" t="n">
        <v>0</v>
      </c>
      <c r="I84" s="6" t="n"/>
      <c r="J84" s="11" t="n"/>
      <c r="K84" s="11" t="inlineStr">
        <is>
          <t>flat</t>
        </is>
      </c>
      <c r="L84" s="11" t="inlineStr">
        <is>
          <t>all-in</t>
        </is>
      </c>
      <c r="M84" s="11" t="inlineStr">
        <is>
          <t>third-party-reported</t>
        </is>
      </c>
      <c r="N84" s="13" t="n">
        <v>65</v>
      </c>
      <c r="O84" s="11" t="b">
        <v>0</v>
      </c>
      <c r="P84" s="11" t="n"/>
      <c r="Q84" s="15" t="n">
        <v>46239</v>
      </c>
      <c r="R84" s="11" t="inlineStr">
        <is>
          <t>https://remedymeds.com/</t>
        </is>
      </c>
      <c r="S84" s="11" t="inlineStr">
        <is>
          <t>https://web.archive.org/web/*/https://remedymeds.com/</t>
        </is>
      </c>
      <c r="T84" s="8" t="inlineStr">
        <is>
          <t>Recorded from third-party coverage rather than a Remedy Meds pricing page.</t>
        </is>
      </c>
    </row>
    <row r="85">
      <c r="A85" s="11" t="inlineStr">
        <is>
          <t>Remedy Meds</t>
        </is>
      </c>
      <c r="B85" s="11" t="n">
        <v>5</v>
      </c>
      <c r="C85" s="6" t="n">
        <v>399</v>
      </c>
      <c r="D85" s="6">
        <f>C85*12</f>
        <v/>
      </c>
      <c r="E85" s="6">
        <f>IF(C85="","",C85/(B85*4))</f>
        <v/>
      </c>
      <c r="F85" s="6" t="n">
        <v>399</v>
      </c>
      <c r="G85" s="6" t="n">
        <v>4788</v>
      </c>
      <c r="H85" s="6" t="n">
        <v>0</v>
      </c>
      <c r="I85" s="6" t="n"/>
      <c r="J85" s="11" t="n"/>
      <c r="K85" s="11" t="inlineStr">
        <is>
          <t>flat</t>
        </is>
      </c>
      <c r="L85" s="11" t="inlineStr">
        <is>
          <t>all-in</t>
        </is>
      </c>
      <c r="M85" s="11" t="inlineStr">
        <is>
          <t>third-party-reported</t>
        </is>
      </c>
      <c r="N85" s="13" t="n">
        <v>65</v>
      </c>
      <c r="O85" s="11" t="b">
        <v>0</v>
      </c>
      <c r="P85" s="11" t="n"/>
      <c r="Q85" s="15" t="n">
        <v>46239</v>
      </c>
      <c r="R85" s="11" t="inlineStr">
        <is>
          <t>https://remedymeds.com/</t>
        </is>
      </c>
      <c r="S85" s="11" t="inlineStr">
        <is>
          <t>https://web.archive.org/web/*/https://remedymeds.com/</t>
        </is>
      </c>
      <c r="T85" s="8" t="inlineStr">
        <is>
          <t>Recorded from third-party coverage rather than a Remedy Meds pricing page.</t>
        </is>
      </c>
    </row>
    <row r="86">
      <c r="A86" s="11" t="inlineStr">
        <is>
          <t>Remedy Meds</t>
        </is>
      </c>
      <c r="B86" s="11" t="n">
        <v>7.5</v>
      </c>
      <c r="C86" s="6" t="n">
        <v>399</v>
      </c>
      <c r="D86" s="6">
        <f>C86*12</f>
        <v/>
      </c>
      <c r="E86" s="6">
        <f>IF(C86="","",C86/(B86*4))</f>
        <v/>
      </c>
      <c r="F86" s="6" t="n">
        <v>399</v>
      </c>
      <c r="G86" s="6" t="n">
        <v>4788</v>
      </c>
      <c r="H86" s="6" t="n">
        <v>0</v>
      </c>
      <c r="I86" s="6" t="n"/>
      <c r="J86" s="11" t="n"/>
      <c r="K86" s="11" t="inlineStr">
        <is>
          <t>flat</t>
        </is>
      </c>
      <c r="L86" s="11" t="inlineStr">
        <is>
          <t>all-in</t>
        </is>
      </c>
      <c r="M86" s="11" t="inlineStr">
        <is>
          <t>third-party-reported</t>
        </is>
      </c>
      <c r="N86" s="13" t="n">
        <v>65</v>
      </c>
      <c r="O86" s="11" t="b">
        <v>0</v>
      </c>
      <c r="P86" s="11" t="n"/>
      <c r="Q86" s="15" t="n">
        <v>46239</v>
      </c>
      <c r="R86" s="11" t="inlineStr">
        <is>
          <t>https://remedymeds.com/</t>
        </is>
      </c>
      <c r="S86" s="11" t="inlineStr">
        <is>
          <t>https://web.archive.org/web/*/https://remedymeds.com/</t>
        </is>
      </c>
      <c r="T86" s="8" t="inlineStr">
        <is>
          <t>Recorded from third-party coverage rather than a Remedy Meds pricing page.</t>
        </is>
      </c>
    </row>
    <row r="87">
      <c r="A87" s="11" t="inlineStr">
        <is>
          <t>Remedy Meds</t>
        </is>
      </c>
      <c r="B87" s="11" t="n">
        <v>10</v>
      </c>
      <c r="C87" s="6" t="n">
        <v>399</v>
      </c>
      <c r="D87" s="6">
        <f>C87*12</f>
        <v/>
      </c>
      <c r="E87" s="6">
        <f>IF(C87="","",C87/(B87*4))</f>
        <v/>
      </c>
      <c r="F87" s="6" t="n">
        <v>399</v>
      </c>
      <c r="G87" s="6" t="n">
        <v>4788</v>
      </c>
      <c r="H87" s="6" t="n">
        <v>0</v>
      </c>
      <c r="I87" s="6" t="n"/>
      <c r="J87" s="11" t="n"/>
      <c r="K87" s="11" t="inlineStr">
        <is>
          <t>flat</t>
        </is>
      </c>
      <c r="L87" s="11" t="inlineStr">
        <is>
          <t>all-in</t>
        </is>
      </c>
      <c r="M87" s="11" t="inlineStr">
        <is>
          <t>third-party-reported</t>
        </is>
      </c>
      <c r="N87" s="13" t="n">
        <v>65</v>
      </c>
      <c r="O87" s="11" t="b">
        <v>0</v>
      </c>
      <c r="P87" s="11" t="n"/>
      <c r="Q87" s="15" t="n">
        <v>46239</v>
      </c>
      <c r="R87" s="11" t="inlineStr">
        <is>
          <t>https://remedymeds.com/</t>
        </is>
      </c>
      <c r="S87" s="11" t="inlineStr">
        <is>
          <t>https://web.archive.org/web/*/https://remedymeds.com/</t>
        </is>
      </c>
      <c r="T87" s="8" t="inlineStr">
        <is>
          <t>Recorded from third-party coverage rather than a Remedy Meds pricing page.</t>
        </is>
      </c>
    </row>
    <row r="88">
      <c r="A88" s="11" t="inlineStr">
        <is>
          <t>Remedy Meds</t>
        </is>
      </c>
      <c r="B88" s="11" t="n">
        <v>12.5</v>
      </c>
      <c r="C88" s="6" t="n">
        <v>399</v>
      </c>
      <c r="D88" s="6">
        <f>C88*12</f>
        <v/>
      </c>
      <c r="E88" s="6">
        <f>IF(C88="","",C88/(B88*4))</f>
        <v/>
      </c>
      <c r="F88" s="6" t="n">
        <v>399</v>
      </c>
      <c r="G88" s="6" t="n">
        <v>4788</v>
      </c>
      <c r="H88" s="6" t="n">
        <v>0</v>
      </c>
      <c r="I88" s="6" t="n"/>
      <c r="J88" s="11" t="n"/>
      <c r="K88" s="11" t="inlineStr">
        <is>
          <t>flat</t>
        </is>
      </c>
      <c r="L88" s="11" t="inlineStr">
        <is>
          <t>all-in</t>
        </is>
      </c>
      <c r="M88" s="11" t="inlineStr">
        <is>
          <t>third-party-reported</t>
        </is>
      </c>
      <c r="N88" s="13" t="n">
        <v>65</v>
      </c>
      <c r="O88" s="11" t="b">
        <v>0</v>
      </c>
      <c r="P88" s="11" t="n"/>
      <c r="Q88" s="15" t="n">
        <v>46239</v>
      </c>
      <c r="R88" s="11" t="inlineStr">
        <is>
          <t>https://remedymeds.com/</t>
        </is>
      </c>
      <c r="S88" s="11" t="inlineStr">
        <is>
          <t>https://web.archive.org/web/*/https://remedymeds.com/</t>
        </is>
      </c>
      <c r="T88" s="8" t="inlineStr">
        <is>
          <t>Recorded from third-party coverage rather than a Remedy Meds pricing page.</t>
        </is>
      </c>
    </row>
    <row r="89">
      <c r="A89" s="11" t="inlineStr">
        <is>
          <t>Remedy Meds</t>
        </is>
      </c>
      <c r="B89" s="11" t="n">
        <v>15</v>
      </c>
      <c r="C89" s="6" t="n">
        <v>399</v>
      </c>
      <c r="D89" s="6">
        <f>C89*12</f>
        <v/>
      </c>
      <c r="E89" s="6">
        <f>IF(C89="","",C89/(B89*4))</f>
        <v/>
      </c>
      <c r="F89" s="6" t="n">
        <v>399</v>
      </c>
      <c r="G89" s="6" t="n">
        <v>4788</v>
      </c>
      <c r="H89" s="6" t="n">
        <v>0</v>
      </c>
      <c r="I89" s="6" t="n"/>
      <c r="J89" s="11" t="n"/>
      <c r="K89" s="11" t="inlineStr">
        <is>
          <t>flat</t>
        </is>
      </c>
      <c r="L89" s="11" t="inlineStr">
        <is>
          <t>all-in</t>
        </is>
      </c>
      <c r="M89" s="11" t="inlineStr">
        <is>
          <t>third-party-reported</t>
        </is>
      </c>
      <c r="N89" s="13" t="n">
        <v>65</v>
      </c>
      <c r="O89" s="11" t="b">
        <v>0</v>
      </c>
      <c r="P89" s="11" t="n"/>
      <c r="Q89" s="15" t="n">
        <v>46239</v>
      </c>
      <c r="R89" s="11" t="inlineStr">
        <is>
          <t>https://remedymeds.com/</t>
        </is>
      </c>
      <c r="S89" s="11" t="inlineStr">
        <is>
          <t>https://web.archive.org/web/*/https://remedymeds.com/</t>
        </is>
      </c>
      <c r="T89" s="8" t="inlineStr">
        <is>
          <t>Recorded from third-party coverage rather than a Remedy Meds pricing page.</t>
        </is>
      </c>
    </row>
    <row r="90" ht="28" customHeight="1" s="48">
      <c r="A90" s="11" t="inlineStr">
        <is>
          <t>Eden</t>
        </is>
      </c>
      <c r="B90" s="11" t="n">
        <v>2.5</v>
      </c>
      <c r="C90" s="6" t="n">
        <v>348</v>
      </c>
      <c r="D90" s="6">
        <f>C90*12</f>
        <v/>
      </c>
      <c r="E90" s="6">
        <f>IF(C90="","",C90/(B90*4))</f>
        <v/>
      </c>
      <c r="F90" s="6" t="n">
        <v>348</v>
      </c>
      <c r="G90" s="6" t="n">
        <v>4796</v>
      </c>
      <c r="H90" s="6" t="n">
        <v>99</v>
      </c>
      <c r="I90" s="6" t="n"/>
      <c r="J90" s="11" t="n"/>
      <c r="K90" s="11" t="inlineStr">
        <is>
          <t>scaled</t>
        </is>
      </c>
      <c r="L90" s="11" t="inlineStr">
        <is>
          <t>split</t>
        </is>
      </c>
      <c r="M90" s="11" t="inlineStr">
        <is>
          <t>source-verified</t>
        </is>
      </c>
      <c r="N90" s="13" t="n">
        <v>60</v>
      </c>
      <c r="O90" s="11" t="b">
        <v>0</v>
      </c>
      <c r="P90" s="11" t="inlineStr">
        <is>
          <t>not named</t>
        </is>
      </c>
      <c r="Q90" s="15" t="n">
        <v>46239</v>
      </c>
      <c r="R90" s="11" t="inlineStr">
        <is>
          <t>https://www.eden.health/</t>
        </is>
      </c>
      <c r="S90" s="11" t="inlineStr">
        <is>
          <t>https://web.archive.org/web/*/https://www.eden.health/</t>
        </is>
      </c>
      <c r="T90" s="8" t="inlineStr">
        <is>
          <t>The medication figure excludes a monthly membership that auto-renews, so the real figure is materially higher than the advertised one.</t>
        </is>
      </c>
    </row>
    <row r="91" ht="28" customHeight="1" s="48">
      <c r="A91" s="11" t="inlineStr">
        <is>
          <t>Eden</t>
        </is>
      </c>
      <c r="B91" s="11" t="n">
        <v>5</v>
      </c>
      <c r="C91" s="6" t="n">
        <v>368</v>
      </c>
      <c r="D91" s="6">
        <f>C91*12</f>
        <v/>
      </c>
      <c r="E91" s="6">
        <f>IF(C91="","",C91/(B91*4))</f>
        <v/>
      </c>
      <c r="F91" s="6" t="n">
        <v>348</v>
      </c>
      <c r="G91" s="6" t="n">
        <v>4796</v>
      </c>
      <c r="H91" s="6" t="n">
        <v>99</v>
      </c>
      <c r="I91" s="6" t="n"/>
      <c r="J91" s="11" t="n"/>
      <c r="K91" s="11" t="inlineStr">
        <is>
          <t>scaled</t>
        </is>
      </c>
      <c r="L91" s="11" t="inlineStr">
        <is>
          <t>split</t>
        </is>
      </c>
      <c r="M91" s="11" t="inlineStr">
        <is>
          <t>source-verified</t>
        </is>
      </c>
      <c r="N91" s="13" t="n">
        <v>60</v>
      </c>
      <c r="O91" s="11" t="b">
        <v>0</v>
      </c>
      <c r="P91" s="11" t="inlineStr">
        <is>
          <t>not named</t>
        </is>
      </c>
      <c r="Q91" s="15" t="n">
        <v>46239</v>
      </c>
      <c r="R91" s="11" t="inlineStr">
        <is>
          <t>https://www.eden.health/</t>
        </is>
      </c>
      <c r="S91" s="11" t="inlineStr">
        <is>
          <t>https://web.archive.org/web/*/https://www.eden.health/</t>
        </is>
      </c>
      <c r="T91" s="8" t="inlineStr">
        <is>
          <t>The medication figure excludes a monthly membership that auto-renews, so the real figure is materially higher than the advertised one.</t>
        </is>
      </c>
    </row>
    <row r="92" ht="28" customHeight="1" s="48">
      <c r="A92" s="11" t="inlineStr">
        <is>
          <t>Eden</t>
        </is>
      </c>
      <c r="B92" s="11" t="n">
        <v>7.5</v>
      </c>
      <c r="C92" s="6" t="n">
        <v>388</v>
      </c>
      <c r="D92" s="6">
        <f>C92*12</f>
        <v/>
      </c>
      <c r="E92" s="6">
        <f>IF(C92="","",C92/(B92*4))</f>
        <v/>
      </c>
      <c r="F92" s="6" t="n">
        <v>348</v>
      </c>
      <c r="G92" s="6" t="n">
        <v>4796</v>
      </c>
      <c r="H92" s="6" t="n">
        <v>99</v>
      </c>
      <c r="I92" s="6" t="n"/>
      <c r="J92" s="11" t="n"/>
      <c r="K92" s="11" t="inlineStr">
        <is>
          <t>scaled</t>
        </is>
      </c>
      <c r="L92" s="11" t="inlineStr">
        <is>
          <t>split</t>
        </is>
      </c>
      <c r="M92" s="11" t="inlineStr">
        <is>
          <t>source-verified</t>
        </is>
      </c>
      <c r="N92" s="13" t="n">
        <v>60</v>
      </c>
      <c r="O92" s="11" t="b">
        <v>0</v>
      </c>
      <c r="P92" s="11" t="inlineStr">
        <is>
          <t>not named</t>
        </is>
      </c>
      <c r="Q92" s="15" t="n">
        <v>46239</v>
      </c>
      <c r="R92" s="11" t="inlineStr">
        <is>
          <t>https://www.eden.health/</t>
        </is>
      </c>
      <c r="S92" s="11" t="inlineStr">
        <is>
          <t>https://web.archive.org/web/*/https://www.eden.health/</t>
        </is>
      </c>
      <c r="T92" s="8" t="inlineStr">
        <is>
          <t>The medication figure excludes a monthly membership that auto-renews, so the real figure is materially higher than the advertised one.</t>
        </is>
      </c>
    </row>
    <row r="93" ht="28" customHeight="1" s="48">
      <c r="A93" s="11" t="inlineStr">
        <is>
          <t>Eden</t>
        </is>
      </c>
      <c r="B93" s="11" t="n">
        <v>10</v>
      </c>
      <c r="C93" s="6" t="n">
        <v>408</v>
      </c>
      <c r="D93" s="6">
        <f>C93*12</f>
        <v/>
      </c>
      <c r="E93" s="6">
        <f>IF(C93="","",C93/(B93*4))</f>
        <v/>
      </c>
      <c r="F93" s="6" t="n">
        <v>348</v>
      </c>
      <c r="G93" s="6" t="n">
        <v>4796</v>
      </c>
      <c r="H93" s="6" t="n">
        <v>99</v>
      </c>
      <c r="I93" s="6" t="n"/>
      <c r="J93" s="11" t="n"/>
      <c r="K93" s="11" t="inlineStr">
        <is>
          <t>scaled</t>
        </is>
      </c>
      <c r="L93" s="11" t="inlineStr">
        <is>
          <t>split</t>
        </is>
      </c>
      <c r="M93" s="11" t="inlineStr">
        <is>
          <t>source-verified</t>
        </is>
      </c>
      <c r="N93" s="13" t="n">
        <v>60</v>
      </c>
      <c r="O93" s="11" t="b">
        <v>0</v>
      </c>
      <c r="P93" s="11" t="inlineStr">
        <is>
          <t>not named</t>
        </is>
      </c>
      <c r="Q93" s="15" t="n">
        <v>46239</v>
      </c>
      <c r="R93" s="11" t="inlineStr">
        <is>
          <t>https://www.eden.health/</t>
        </is>
      </c>
      <c r="S93" s="11" t="inlineStr">
        <is>
          <t>https://web.archive.org/web/*/https://www.eden.health/</t>
        </is>
      </c>
      <c r="T93" s="8" t="inlineStr">
        <is>
          <t>The medication figure excludes a monthly membership that auto-renews, so the real figure is materially higher than the advertised one.</t>
        </is>
      </c>
    </row>
    <row r="94" ht="28" customHeight="1" s="48">
      <c r="A94" s="11" t="inlineStr">
        <is>
          <t>Eden</t>
        </is>
      </c>
      <c r="B94" s="11" t="n">
        <v>12.5</v>
      </c>
      <c r="C94" s="6" t="n">
        <v>428</v>
      </c>
      <c r="D94" s="6">
        <f>C94*12</f>
        <v/>
      </c>
      <c r="E94" s="6">
        <f>IF(C94="","",C94/(B94*4))</f>
        <v/>
      </c>
      <c r="F94" s="6" t="n">
        <v>348</v>
      </c>
      <c r="G94" s="6" t="n">
        <v>4796</v>
      </c>
      <c r="H94" s="6" t="n">
        <v>99</v>
      </c>
      <c r="I94" s="6" t="n"/>
      <c r="J94" s="11" t="n"/>
      <c r="K94" s="11" t="inlineStr">
        <is>
          <t>scaled</t>
        </is>
      </c>
      <c r="L94" s="11" t="inlineStr">
        <is>
          <t>split</t>
        </is>
      </c>
      <c r="M94" s="11" t="inlineStr">
        <is>
          <t>source-verified</t>
        </is>
      </c>
      <c r="N94" s="13" t="n">
        <v>60</v>
      </c>
      <c r="O94" s="11" t="b">
        <v>0</v>
      </c>
      <c r="P94" s="11" t="inlineStr">
        <is>
          <t>not named</t>
        </is>
      </c>
      <c r="Q94" s="15" t="n">
        <v>46239</v>
      </c>
      <c r="R94" s="11" t="inlineStr">
        <is>
          <t>https://www.eden.health/</t>
        </is>
      </c>
      <c r="S94" s="11" t="inlineStr">
        <is>
          <t>https://web.archive.org/web/*/https://www.eden.health/</t>
        </is>
      </c>
      <c r="T94" s="8" t="inlineStr">
        <is>
          <t>The medication figure excludes a monthly membership that auto-renews, so the real figure is materially higher than the advertised one.</t>
        </is>
      </c>
    </row>
    <row r="95" ht="28" customHeight="1" s="48">
      <c r="A95" s="11" t="inlineStr">
        <is>
          <t>Eden</t>
        </is>
      </c>
      <c r="B95" s="11" t="n">
        <v>15</v>
      </c>
      <c r="C95" s="6" t="n">
        <v>448</v>
      </c>
      <c r="D95" s="6">
        <f>C95*12</f>
        <v/>
      </c>
      <c r="E95" s="6">
        <f>IF(C95="","",C95/(B95*4))</f>
        <v/>
      </c>
      <c r="F95" s="6" t="n">
        <v>348</v>
      </c>
      <c r="G95" s="6" t="n">
        <v>4796</v>
      </c>
      <c r="H95" s="6" t="n">
        <v>99</v>
      </c>
      <c r="I95" s="6" t="n"/>
      <c r="J95" s="11" t="n"/>
      <c r="K95" s="11" t="inlineStr">
        <is>
          <t>scaled</t>
        </is>
      </c>
      <c r="L95" s="11" t="inlineStr">
        <is>
          <t>split</t>
        </is>
      </c>
      <c r="M95" s="11" t="inlineStr">
        <is>
          <t>source-verified</t>
        </is>
      </c>
      <c r="N95" s="13" t="n">
        <v>60</v>
      </c>
      <c r="O95" s="11" t="b">
        <v>0</v>
      </c>
      <c r="P95" s="11" t="inlineStr">
        <is>
          <t>not named</t>
        </is>
      </c>
      <c r="Q95" s="15" t="n">
        <v>46239</v>
      </c>
      <c r="R95" s="11" t="inlineStr">
        <is>
          <t>https://www.eden.health/</t>
        </is>
      </c>
      <c r="S95" s="11" t="inlineStr">
        <is>
          <t>https://web.archive.org/web/*/https://www.eden.health/</t>
        </is>
      </c>
      <c r="T95" s="8" t="inlineStr">
        <is>
          <t>The medication figure excludes a monthly membership that auto-renews, so the real figure is materially higher than the advertised one.</t>
        </is>
      </c>
    </row>
    <row r="96" ht="28" customHeight="1" s="48">
      <c r="A96" s="11" t="inlineStr">
        <is>
          <t>LifeMD</t>
        </is>
      </c>
      <c r="B96" s="11" t="n">
        <v>2.5</v>
      </c>
      <c r="C96" s="6" t="n">
        <v>597</v>
      </c>
      <c r="D96" s="6">
        <f>C96*12</f>
        <v/>
      </c>
      <c r="E96" s="6">
        <f>IF(C96="","",C96/(B96*4))</f>
        <v/>
      </c>
      <c r="F96" s="6" t="n">
        <v>597</v>
      </c>
      <c r="G96" s="6" t="n">
        <v>7164</v>
      </c>
      <c r="H96" s="6" t="n">
        <v>149</v>
      </c>
      <c r="I96" s="6" t="n"/>
      <c r="J96" s="11" t="n"/>
      <c r="K96" s="11" t="inlineStr">
        <is>
          <t>flat</t>
        </is>
      </c>
      <c r="L96" s="11" t="inlineStr">
        <is>
          <t>split</t>
        </is>
      </c>
      <c r="M96" s="11" t="inlineStr">
        <is>
          <t>third-party-reported</t>
        </is>
      </c>
      <c r="N96" s="13" t="n">
        <v>90</v>
      </c>
      <c r="O96" s="11" t="b">
        <v>0</v>
      </c>
      <c r="P96" s="11" t="inlineStr">
        <is>
          <t>not named</t>
        </is>
      </c>
      <c r="Q96" s="15" t="n">
        <v>46239</v>
      </c>
      <c r="R96" s="11" t="inlineStr">
        <is>
          <t>https://lifemd.com/</t>
        </is>
      </c>
      <c r="S96" s="11" t="inlineStr">
        <is>
          <t>https://web.archive.org/web/*/https://lifemd.com/</t>
        </is>
      </c>
      <c r="T96" s="8" t="inlineStr">
        <is>
          <t>Split pricing: the programme fee and the medication are billed separately, so the advertised figure is not the total. Laboratory work is required.</t>
        </is>
      </c>
    </row>
    <row r="97" ht="28" customHeight="1" s="48">
      <c r="A97" s="11" t="inlineStr">
        <is>
          <t>LifeMD</t>
        </is>
      </c>
      <c r="B97" s="11" t="n">
        <v>5</v>
      </c>
      <c r="C97" s="6" t="n">
        <v>597</v>
      </c>
      <c r="D97" s="6">
        <f>C97*12</f>
        <v/>
      </c>
      <c r="E97" s="6">
        <f>IF(C97="","",C97/(B97*4))</f>
        <v/>
      </c>
      <c r="F97" s="6" t="n">
        <v>597</v>
      </c>
      <c r="G97" s="6" t="n">
        <v>7164</v>
      </c>
      <c r="H97" s="6" t="n">
        <v>149</v>
      </c>
      <c r="I97" s="6" t="n"/>
      <c r="J97" s="11" t="n"/>
      <c r="K97" s="11" t="inlineStr">
        <is>
          <t>flat</t>
        </is>
      </c>
      <c r="L97" s="11" t="inlineStr">
        <is>
          <t>split</t>
        </is>
      </c>
      <c r="M97" s="11" t="inlineStr">
        <is>
          <t>third-party-reported</t>
        </is>
      </c>
      <c r="N97" s="13" t="n">
        <v>90</v>
      </c>
      <c r="O97" s="11" t="b">
        <v>0</v>
      </c>
      <c r="P97" s="11" t="inlineStr">
        <is>
          <t>not named</t>
        </is>
      </c>
      <c r="Q97" s="15" t="n">
        <v>46239</v>
      </c>
      <c r="R97" s="11" t="inlineStr">
        <is>
          <t>https://lifemd.com/</t>
        </is>
      </c>
      <c r="S97" s="11" t="inlineStr">
        <is>
          <t>https://web.archive.org/web/*/https://lifemd.com/</t>
        </is>
      </c>
      <c r="T97" s="8" t="inlineStr">
        <is>
          <t>Split pricing: the programme fee and the medication are billed separately, so the advertised figure is not the total. Laboratory work is required.</t>
        </is>
      </c>
    </row>
    <row r="98" ht="28" customHeight="1" s="48">
      <c r="A98" s="11" t="inlineStr">
        <is>
          <t>LifeMD</t>
        </is>
      </c>
      <c r="B98" s="11" t="n">
        <v>7.5</v>
      </c>
      <c r="C98" s="6" t="n">
        <v>597</v>
      </c>
      <c r="D98" s="6">
        <f>C98*12</f>
        <v/>
      </c>
      <c r="E98" s="6">
        <f>IF(C98="","",C98/(B98*4))</f>
        <v/>
      </c>
      <c r="F98" s="6" t="n">
        <v>597</v>
      </c>
      <c r="G98" s="6" t="n">
        <v>7164</v>
      </c>
      <c r="H98" s="6" t="n">
        <v>149</v>
      </c>
      <c r="I98" s="6" t="n"/>
      <c r="J98" s="11" t="n"/>
      <c r="K98" s="11" t="inlineStr">
        <is>
          <t>flat</t>
        </is>
      </c>
      <c r="L98" s="11" t="inlineStr">
        <is>
          <t>split</t>
        </is>
      </c>
      <c r="M98" s="11" t="inlineStr">
        <is>
          <t>third-party-reported</t>
        </is>
      </c>
      <c r="N98" s="13" t="n">
        <v>90</v>
      </c>
      <c r="O98" s="11" t="b">
        <v>0</v>
      </c>
      <c r="P98" s="11" t="inlineStr">
        <is>
          <t>not named</t>
        </is>
      </c>
      <c r="Q98" s="15" t="n">
        <v>46239</v>
      </c>
      <c r="R98" s="11" t="inlineStr">
        <is>
          <t>https://lifemd.com/</t>
        </is>
      </c>
      <c r="S98" s="11" t="inlineStr">
        <is>
          <t>https://web.archive.org/web/*/https://lifemd.com/</t>
        </is>
      </c>
      <c r="T98" s="8" t="inlineStr">
        <is>
          <t>Split pricing: the programme fee and the medication are billed separately, so the advertised figure is not the total. Laboratory work is required.</t>
        </is>
      </c>
    </row>
    <row r="99" ht="28" customHeight="1" s="48">
      <c r="A99" s="11" t="inlineStr">
        <is>
          <t>LifeMD</t>
        </is>
      </c>
      <c r="B99" s="11" t="n">
        <v>10</v>
      </c>
      <c r="C99" s="6" t="n">
        <v>597</v>
      </c>
      <c r="D99" s="6">
        <f>C99*12</f>
        <v/>
      </c>
      <c r="E99" s="6">
        <f>IF(C99="","",C99/(B99*4))</f>
        <v/>
      </c>
      <c r="F99" s="6" t="n">
        <v>597</v>
      </c>
      <c r="G99" s="6" t="n">
        <v>7164</v>
      </c>
      <c r="H99" s="6" t="n">
        <v>149</v>
      </c>
      <c r="I99" s="6" t="n"/>
      <c r="J99" s="11" t="n"/>
      <c r="K99" s="11" t="inlineStr">
        <is>
          <t>flat</t>
        </is>
      </c>
      <c r="L99" s="11" t="inlineStr">
        <is>
          <t>split</t>
        </is>
      </c>
      <c r="M99" s="11" t="inlineStr">
        <is>
          <t>third-party-reported</t>
        </is>
      </c>
      <c r="N99" s="13" t="n">
        <v>90</v>
      </c>
      <c r="O99" s="11" t="b">
        <v>0</v>
      </c>
      <c r="P99" s="11" t="inlineStr">
        <is>
          <t>not named</t>
        </is>
      </c>
      <c r="Q99" s="15" t="n">
        <v>46239</v>
      </c>
      <c r="R99" s="11" t="inlineStr">
        <is>
          <t>https://lifemd.com/</t>
        </is>
      </c>
      <c r="S99" s="11" t="inlineStr">
        <is>
          <t>https://web.archive.org/web/*/https://lifemd.com/</t>
        </is>
      </c>
      <c r="T99" s="8" t="inlineStr">
        <is>
          <t>Split pricing: the programme fee and the medication are billed separately, so the advertised figure is not the total. Laboratory work is required.</t>
        </is>
      </c>
    </row>
    <row r="100" ht="28" customHeight="1" s="48">
      <c r="A100" s="11" t="inlineStr">
        <is>
          <t>LifeMD</t>
        </is>
      </c>
      <c r="B100" s="11" t="n">
        <v>12.5</v>
      </c>
      <c r="C100" s="6" t="n">
        <v>597</v>
      </c>
      <c r="D100" s="6">
        <f>C100*12</f>
        <v/>
      </c>
      <c r="E100" s="6">
        <f>IF(C100="","",C100/(B100*4))</f>
        <v/>
      </c>
      <c r="F100" s="6" t="n">
        <v>597</v>
      </c>
      <c r="G100" s="6" t="n">
        <v>7164</v>
      </c>
      <c r="H100" s="6" t="n">
        <v>149</v>
      </c>
      <c r="I100" s="6" t="n"/>
      <c r="J100" s="11" t="n"/>
      <c r="K100" s="11" t="inlineStr">
        <is>
          <t>flat</t>
        </is>
      </c>
      <c r="L100" s="11" t="inlineStr">
        <is>
          <t>split</t>
        </is>
      </c>
      <c r="M100" s="11" t="inlineStr">
        <is>
          <t>third-party-reported</t>
        </is>
      </c>
      <c r="N100" s="13" t="n">
        <v>90</v>
      </c>
      <c r="O100" s="11" t="b">
        <v>0</v>
      </c>
      <c r="P100" s="11" t="inlineStr">
        <is>
          <t>not named</t>
        </is>
      </c>
      <c r="Q100" s="15" t="n">
        <v>46239</v>
      </c>
      <c r="R100" s="11" t="inlineStr">
        <is>
          <t>https://lifemd.com/</t>
        </is>
      </c>
      <c r="S100" s="11" t="inlineStr">
        <is>
          <t>https://web.archive.org/web/*/https://lifemd.com/</t>
        </is>
      </c>
      <c r="T100" s="8" t="inlineStr">
        <is>
          <t>Split pricing: the programme fee and the medication are billed separately, so the advertised figure is not the total. Laboratory work is required.</t>
        </is>
      </c>
    </row>
    <row r="101" ht="28" customHeight="1" s="48">
      <c r="A101" s="11" t="inlineStr">
        <is>
          <t>LifeMD</t>
        </is>
      </c>
      <c r="B101" s="11" t="n">
        <v>15</v>
      </c>
      <c r="C101" s="6" t="n">
        <v>597</v>
      </c>
      <c r="D101" s="6">
        <f>C101*12</f>
        <v/>
      </c>
      <c r="E101" s="6">
        <f>IF(C101="","",C101/(B101*4))</f>
        <v/>
      </c>
      <c r="F101" s="6" t="n">
        <v>597</v>
      </c>
      <c r="G101" s="6" t="n">
        <v>7164</v>
      </c>
      <c r="H101" s="6" t="n">
        <v>149</v>
      </c>
      <c r="I101" s="6" t="n"/>
      <c r="J101" s="11" t="n"/>
      <c r="K101" s="11" t="inlineStr">
        <is>
          <t>flat</t>
        </is>
      </c>
      <c r="L101" s="11" t="inlineStr">
        <is>
          <t>split</t>
        </is>
      </c>
      <c r="M101" s="11" t="inlineStr">
        <is>
          <t>third-party-reported</t>
        </is>
      </c>
      <c r="N101" s="13" t="n">
        <v>90</v>
      </c>
      <c r="O101" s="11" t="b">
        <v>0</v>
      </c>
      <c r="P101" s="11" t="inlineStr">
        <is>
          <t>not named</t>
        </is>
      </c>
      <c r="Q101" s="15" t="n">
        <v>46239</v>
      </c>
      <c r="R101" s="11" t="inlineStr">
        <is>
          <t>https://lifemd.com/</t>
        </is>
      </c>
      <c r="S101" s="11" t="inlineStr">
        <is>
          <t>https://web.archive.org/web/*/https://lifemd.com/</t>
        </is>
      </c>
      <c r="T101" s="8" t="inlineStr">
        <is>
          <t>Split pricing: the programme fee and the medication are billed separately, so the advertised figure is not the total. Laboratory work is required.</t>
        </is>
      </c>
    </row>
    <row r="102" ht="28" customHeight="1" s="48">
      <c r="A102" s="12" t="inlineStr">
        <is>
          <t>Fifty 410</t>
        </is>
      </c>
      <c r="B102" s="12" t="n">
        <v>2.5</v>
      </c>
      <c r="C102" s="7" t="n">
        <v>133</v>
      </c>
      <c r="D102" s="7">
        <f>C102*12</f>
        <v/>
      </c>
      <c r="E102" s="7">
        <f>IF(C102="","",C102/(B102*4))</f>
        <v/>
      </c>
      <c r="F102" s="7" t="n">
        <v>133</v>
      </c>
      <c r="G102" s="7" t="n"/>
      <c r="H102" s="7" t="n">
        <v>0</v>
      </c>
      <c r="I102" s="7" t="n"/>
      <c r="J102" s="12" t="n"/>
      <c r="K102" s="12" t="inlineStr">
        <is>
          <t>scaled</t>
        </is>
      </c>
      <c r="L102" s="12" t="inlineStr">
        <is>
          <t>all-in</t>
        </is>
      </c>
      <c r="M102" s="12" t="inlineStr">
        <is>
          <t>source-verified</t>
        </is>
      </c>
      <c r="N102" s="14" t="n">
        <v>35</v>
      </c>
      <c r="O102" s="12" t="b">
        <v>0</v>
      </c>
      <c r="P102" s="12" t="n"/>
      <c r="Q102" s="16" t="n">
        <v>46239</v>
      </c>
      <c r="R102" s="12" t="inlineStr">
        <is>
          <t>https://www.fifty410.com/pricing/tirzepatide</t>
        </is>
      </c>
      <c r="S102" s="12" t="inlineStr">
        <is>
          <t>https://web.archive.org/web/*/https://www.fifty410.com/pricing/tirzepatide</t>
        </is>
      </c>
      <c r="T102" s="9" t="inlineStr">
        <is>
          <t>The published figure is a starting price. No maintenance-dose figure is stated in material we could capture, so we publish none rather than extrapolating.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:r="http://schemas.openxmlformats.org/officeDocument/2006/relationships" xmlns="http://schemas.openxmlformats.org/spreadsheetml/2006/main">
  <sheetPr>
    <tabColor rgb="FF00A6C8"/>
    <outlinePr summaryBelow="1" summaryRight="1"/>
    <pageSetUpPr/>
  </sheetPr>
  <dimension ref="A1:K72"/>
  <sheetViews>
    <sheetView showGridLines="0" tabSelected="1" zoomScale="111" workbookViewId="0">
      <pane ySplit="4" topLeftCell="A30" activePane="bottomLeft" state="frozen"/>
      <selection pane="bottomLeft" activeCell="C31" sqref="C31"/>
    </sheetView>
  </sheetViews>
  <sheetFormatPr baseColWidth="10" defaultColWidth="8.83203125" defaultRowHeight="14"/>
  <cols>
    <col width="13" customWidth="1" style="48" min="1" max="1"/>
    <col width="17" customWidth="1" style="48" min="2" max="2"/>
    <col width="18" customWidth="1" style="48" min="3" max="3"/>
    <col width="20" customWidth="1" style="48" min="4" max="4"/>
    <col width="13" customWidth="1" style="48" min="5" max="5"/>
    <col width="17" customWidth="1" style="48" min="6" max="6"/>
    <col width="24" customWidth="1" style="48" min="7" max="7"/>
    <col width="38" customWidth="1" style="48" min="8" max="8"/>
    <col width="11" customWidth="1" style="48" min="9" max="9"/>
    <col width="21" customWidth="1" style="48" min="10" max="10"/>
    <col width="40" customWidth="1" style="48" min="11" max="11"/>
    <col width="3" customWidth="1" style="48" min="12" max="12"/>
    <col width="12" customWidth="1" style="48" min="13" max="22"/>
  </cols>
  <sheetData>
    <row r="1" ht="30" customHeight="1" s="48">
      <c r="A1" s="37" t="inlineStr">
        <is>
          <t>Manufacturer Direct / Self-Pay History</t>
        </is>
      </c>
    </row>
    <row r="2" ht="27" customHeight="1" s="48">
      <c r="A2" s="40" t="inlineStr">
        <is>
          <t>Cash-channel prices are not WAC…some are dose-specific, temporary, or conditional on refill timing; eligibility and live terms should be checked at purchase. Self-pay prices re-checked 2026-10-07.</t>
        </is>
      </c>
    </row>
    <row r="4" ht="30" customHeight="1" s="48">
      <c r="A4" s="74" t="inlineStr">
        <is>
          <t>Date</t>
        </is>
      </c>
      <c r="B4" s="74" t="inlineStr">
        <is>
          <t>Product</t>
        </is>
      </c>
      <c r="C4" s="74" t="inlineStr">
        <is>
          <t>Form</t>
        </is>
      </c>
      <c r="D4" s="74" t="inlineStr">
        <is>
          <t>Dose</t>
        </is>
      </c>
      <c r="E4" s="74" t="inlineStr">
        <is>
          <t>Price</t>
        </is>
      </c>
      <c r="F4" s="74" t="inlineStr">
        <is>
          <t>Unit</t>
        </is>
      </c>
      <c r="G4" s="74" t="inlineStr">
        <is>
          <t>Channel</t>
        </is>
      </c>
      <c r="H4" s="74" t="inlineStr">
        <is>
          <t>Eligibility / condition</t>
        </is>
      </c>
      <c r="I4" s="74" t="inlineStr">
        <is>
          <t>Source</t>
        </is>
      </c>
      <c r="J4" s="74" t="inlineStr">
        <is>
          <t>Status</t>
        </is>
      </c>
      <c r="K4" s="74" t="inlineStr">
        <is>
          <t>Note</t>
        </is>
      </c>
    </row>
    <row r="5" ht="34" customHeight="1" s="48">
      <c r="A5" s="28" t="inlineStr">
        <is>
          <t>2024-08-27</t>
        </is>
      </c>
      <c r="B5" s="43" t="inlineStr">
        <is>
          <t>Zepbound</t>
        </is>
      </c>
      <c r="C5" s="43" t="inlineStr">
        <is>
          <t>Vial</t>
        </is>
      </c>
      <c r="D5" s="43" t="inlineStr">
        <is>
          <t>2.5 mg</t>
        </is>
      </c>
      <c r="E5" s="21" t="n">
        <v>399</v>
      </c>
      <c r="F5" s="43" t="inlineStr">
        <is>
          <t>USD / 28 days</t>
        </is>
      </c>
      <c r="G5" s="43" t="inlineStr">
        <is>
          <t>LillyDirect</t>
        </is>
      </c>
      <c r="H5" s="43" t="inlineStr">
        <is>
          <t>All cash-paying patients</t>
        </is>
      </c>
      <c r="I5" s="43" t="inlineStr">
        <is>
          <t>S12</t>
        </is>
      </c>
      <c r="J5" s="43" t="inlineStr">
        <is>
          <t>Launch</t>
        </is>
      </c>
      <c r="K5" s="43" t="inlineStr">
        <is>
          <t>Single-dose vial launch</t>
        </is>
      </c>
    </row>
    <row r="6">
      <c r="A6" s="29" t="inlineStr">
        <is>
          <t>2024-08-27</t>
        </is>
      </c>
      <c r="B6" s="45" t="inlineStr">
        <is>
          <t>Zepbound</t>
        </is>
      </c>
      <c r="C6" s="45" t="inlineStr">
        <is>
          <t>Vial</t>
        </is>
      </c>
      <c r="D6" s="45" t="inlineStr">
        <is>
          <t>5 mg</t>
        </is>
      </c>
      <c r="E6" s="22" t="n">
        <v>549</v>
      </c>
      <c r="F6" s="45" t="inlineStr">
        <is>
          <t>USD / 28 days</t>
        </is>
      </c>
      <c r="G6" s="45" t="inlineStr">
        <is>
          <t>LillyDirect</t>
        </is>
      </c>
      <c r="H6" s="45" t="inlineStr">
        <is>
          <t>All cash-paying patients</t>
        </is>
      </c>
      <c r="I6" s="45" t="inlineStr">
        <is>
          <t>S12</t>
        </is>
      </c>
      <c r="J6" s="45" t="inlineStr">
        <is>
          <t>Launch</t>
        </is>
      </c>
      <c r="K6" s="45" t="inlineStr">
        <is>
          <t>Single-dose vial launch</t>
        </is>
      </c>
    </row>
    <row r="7" ht="26" customHeight="1" s="48">
      <c r="A7" s="28" t="inlineStr">
        <is>
          <t>2025-02-25</t>
        </is>
      </c>
      <c r="B7" s="43" t="inlineStr">
        <is>
          <t>Zepbound</t>
        </is>
      </c>
      <c r="C7" s="43" t="inlineStr">
        <is>
          <t>Vial</t>
        </is>
      </c>
      <c r="D7" s="43" t="inlineStr">
        <is>
          <t>2.5 mg</t>
        </is>
      </c>
      <c r="E7" s="21" t="n">
        <v>349</v>
      </c>
      <c r="F7" s="43" t="inlineStr">
        <is>
          <t>USD / 28 days</t>
        </is>
      </c>
      <c r="G7" s="43" t="inlineStr">
        <is>
          <t>LillyDirect</t>
        </is>
      </c>
      <c r="H7" s="43" t="inlineStr">
        <is>
          <t>Cash pay</t>
        </is>
      </c>
      <c r="I7" s="43" t="inlineStr">
        <is>
          <t>S12</t>
        </is>
      </c>
      <c r="J7" s="43" t="inlineStr">
        <is>
          <t>Price change</t>
        </is>
      </c>
      <c r="K7" s="43" t="inlineStr">
        <is>
          <t>Direct cash tier</t>
        </is>
      </c>
    </row>
    <row r="8">
      <c r="A8" s="29" t="inlineStr">
        <is>
          <t>2025-02-25</t>
        </is>
      </c>
      <c r="B8" s="45" t="inlineStr">
        <is>
          <t>Zepbound</t>
        </is>
      </c>
      <c r="C8" s="45" t="inlineStr">
        <is>
          <t>Vial</t>
        </is>
      </c>
      <c r="D8" s="45" t="inlineStr">
        <is>
          <t>5 mg</t>
        </is>
      </c>
      <c r="E8" s="22" t="n">
        <v>499</v>
      </c>
      <c r="F8" s="45" t="inlineStr">
        <is>
          <t>USD / 28 days</t>
        </is>
      </c>
      <c r="G8" s="45" t="inlineStr">
        <is>
          <t>LillyDirect</t>
        </is>
      </c>
      <c r="H8" s="45" t="inlineStr">
        <is>
          <t>Cash pay</t>
        </is>
      </c>
      <c r="I8" s="45" t="inlineStr">
        <is>
          <t>S12</t>
        </is>
      </c>
      <c r="J8" s="45" t="inlineStr">
        <is>
          <t>Price change</t>
        </is>
      </c>
      <c r="K8" s="45" t="inlineStr">
        <is>
          <t>Direct cash tier</t>
        </is>
      </c>
    </row>
    <row r="9">
      <c r="A9" s="28" t="inlineStr">
        <is>
          <t>2025-02-25</t>
        </is>
      </c>
      <c r="B9" s="43" t="inlineStr">
        <is>
          <t>Zepbound</t>
        </is>
      </c>
      <c r="C9" s="43" t="inlineStr">
        <is>
          <t>Vial</t>
        </is>
      </c>
      <c r="D9" s="43" t="inlineStr">
        <is>
          <t>7.5 mg</t>
        </is>
      </c>
      <c r="E9" s="21" t="n">
        <v>599</v>
      </c>
      <c r="F9" s="43" t="inlineStr">
        <is>
          <t>USD / 28 days</t>
        </is>
      </c>
      <c r="G9" s="43" t="inlineStr">
        <is>
          <t>LillyDirect</t>
        </is>
      </c>
      <c r="H9" s="43" t="inlineStr">
        <is>
          <t>Standard; $499 with qualifying timely refill</t>
        </is>
      </c>
      <c r="I9" s="43" t="inlineStr">
        <is>
          <t>S12</t>
        </is>
      </c>
      <c r="J9" s="43" t="inlineStr">
        <is>
          <t>Price change</t>
        </is>
      </c>
      <c r="K9" s="43" t="inlineStr">
        <is>
          <t>Journey refill condition matters</t>
        </is>
      </c>
    </row>
    <row r="10">
      <c r="A10" s="29" t="inlineStr">
        <is>
          <t>2025-02-25</t>
        </is>
      </c>
      <c r="B10" s="45" t="inlineStr">
        <is>
          <t>Zepbound</t>
        </is>
      </c>
      <c r="C10" s="45" t="inlineStr">
        <is>
          <t>Vial</t>
        </is>
      </c>
      <c r="D10" s="45" t="inlineStr">
        <is>
          <t>10 mg</t>
        </is>
      </c>
      <c r="E10" s="22" t="n">
        <v>699</v>
      </c>
      <c r="F10" s="45" t="inlineStr">
        <is>
          <t>USD / 28 days</t>
        </is>
      </c>
      <c r="G10" s="45" t="inlineStr">
        <is>
          <t>LillyDirect</t>
        </is>
      </c>
      <c r="H10" s="45" t="inlineStr">
        <is>
          <t>Standard; $499 with qualifying timely refill</t>
        </is>
      </c>
      <c r="I10" s="45" t="inlineStr">
        <is>
          <t>S12</t>
        </is>
      </c>
      <c r="J10" s="45" t="inlineStr">
        <is>
          <t>Price change</t>
        </is>
      </c>
      <c r="K10" s="45" t="inlineStr">
        <is>
          <t>Journey refill condition matters</t>
        </is>
      </c>
    </row>
    <row r="11">
      <c r="A11" s="28" t="inlineStr">
        <is>
          <t>2025-03-04</t>
        </is>
      </c>
      <c r="B11" s="43" t="inlineStr">
        <is>
          <t>Wegovy</t>
        </is>
      </c>
      <c r="C11" s="43" t="inlineStr">
        <is>
          <t>Injection</t>
        </is>
      </c>
      <c r="D11" s="43" t="inlineStr">
        <is>
          <t>All doses</t>
        </is>
      </c>
      <c r="E11" s="21" t="n">
        <v>650</v>
      </c>
      <c r="F11" s="43" t="inlineStr">
        <is>
          <t>USD / 28 days</t>
        </is>
      </c>
      <c r="G11" s="43" t="inlineStr">
        <is>
          <t>Wegovy savings card (cash payers)</t>
        </is>
      </c>
      <c r="H11" s="43" t="inlineStr">
        <is>
          <t>No coverage for Wegovy</t>
        </is>
      </c>
      <c r="I11" s="43" t="inlineStr">
        <is>
          <t>S14</t>
        </is>
      </c>
      <c r="J11" s="43" t="inlineStr">
        <is>
          <t>Replaced 2025-03-05</t>
        </is>
      </c>
      <c r="K11" s="43" t="inlineStr">
        <is>
          <t>Prior cash-payer price that NovoCare's $499 replaced; date first offered is not documented</t>
        </is>
      </c>
    </row>
    <row r="12">
      <c r="A12" s="29" t="inlineStr">
        <is>
          <t>2025-03-05</t>
        </is>
      </c>
      <c r="B12" s="45" t="inlineStr">
        <is>
          <t>Wegovy</t>
        </is>
      </c>
      <c r="C12" s="45" t="inlineStr">
        <is>
          <t>Injection</t>
        </is>
      </c>
      <c r="D12" s="45" t="inlineStr">
        <is>
          <t>All doses</t>
        </is>
      </c>
      <c r="E12" s="22" t="n">
        <v>499</v>
      </c>
      <c r="F12" s="45" t="inlineStr">
        <is>
          <t>USD / 28 days</t>
        </is>
      </c>
      <c r="G12" s="45" t="inlineStr">
        <is>
          <t>NovoCare Pharmacy</t>
        </is>
      </c>
      <c r="H12" s="45" t="inlineStr">
        <is>
          <t>Uninsured or commercial plan excludes obesity drugs</t>
        </is>
      </c>
      <c r="I12" s="45" t="inlineStr">
        <is>
          <t>S14</t>
        </is>
      </c>
      <c r="J12" s="45" t="inlineStr">
        <is>
          <t>Launch</t>
        </is>
      </c>
      <c r="K12" s="45" t="inlineStr">
        <is>
          <t>Previous manufacturer cash offer publicly cited as $650</t>
        </is>
      </c>
    </row>
    <row r="13">
      <c r="A13" s="28" t="inlineStr">
        <is>
          <t>2025-11-17</t>
        </is>
      </c>
      <c r="B13" s="43" t="inlineStr">
        <is>
          <t>Wegovy</t>
        </is>
      </c>
      <c r="C13" s="43" t="inlineStr">
        <is>
          <t>Injection</t>
        </is>
      </c>
      <c r="D13" s="43" t="inlineStr">
        <is>
          <t>All maintenance doses</t>
        </is>
      </c>
      <c r="E13" s="21" t="n">
        <v>349</v>
      </c>
      <c r="F13" s="43" t="inlineStr">
        <is>
          <t>USD / 28 days</t>
        </is>
      </c>
      <c r="G13" s="43" t="inlineStr">
        <is>
          <t>NovoCare / participating retail</t>
        </is>
      </c>
      <c r="H13" s="43" t="inlineStr">
        <is>
          <t>Cash pay</t>
        </is>
      </c>
      <c r="I13" s="43" t="inlineStr">
        <is>
          <t>S15</t>
        </is>
      </c>
      <c r="J13" s="43" t="inlineStr">
        <is>
          <t>Price change</t>
        </is>
      </c>
      <c r="K13" s="43" t="inlineStr">
        <is>
          <t>Standard cash price</t>
        </is>
      </c>
    </row>
    <row r="14" ht="26" customHeight="1" s="48">
      <c r="A14" s="29" t="inlineStr">
        <is>
          <t>2025-11-17</t>
        </is>
      </c>
      <c r="B14" s="45" t="inlineStr">
        <is>
          <t>Wegovy</t>
        </is>
      </c>
      <c r="C14" s="45" t="inlineStr">
        <is>
          <t>Injection</t>
        </is>
      </c>
      <c r="D14" s="45" t="inlineStr">
        <is>
          <t>0.25 and 0.5 mg</t>
        </is>
      </c>
      <c r="E14" s="22" t="n">
        <v>199</v>
      </c>
      <c r="F14" s="45" t="inlineStr">
        <is>
          <t>USD / fill</t>
        </is>
      </c>
      <c r="G14" s="45" t="inlineStr">
        <is>
          <t>Introductory offer</t>
        </is>
      </c>
      <c r="H14" s="45" t="inlineStr">
        <is>
          <t>New patients, first two fills</t>
        </is>
      </c>
      <c r="I14" s="45" t="inlineStr">
        <is>
          <t>S15</t>
        </is>
      </c>
      <c r="J14" s="45" t="inlineStr">
        <is>
          <t>Temporary offer</t>
        </is>
      </c>
      <c r="K14" s="45" t="inlineStr">
        <is>
          <t>Initially announced through 2026-03-31; later current terms extend availability</t>
        </is>
      </c>
    </row>
    <row r="15">
      <c r="A15" s="28" t="inlineStr">
        <is>
          <t>2025-12-01</t>
        </is>
      </c>
      <c r="B15" s="43" t="inlineStr">
        <is>
          <t>Zepbound</t>
        </is>
      </c>
      <c r="C15" s="43" t="inlineStr">
        <is>
          <t>Vial / future KwikPen</t>
        </is>
      </c>
      <c r="D15" s="43" t="inlineStr">
        <is>
          <t>2.5 mg</t>
        </is>
      </c>
      <c r="E15" s="21" t="n">
        <v>299</v>
      </c>
      <c r="F15" s="43" t="inlineStr">
        <is>
          <t>USD / 28 days</t>
        </is>
      </c>
      <c r="G15" s="43" t="inlineStr">
        <is>
          <t>LillyDirect</t>
        </is>
      </c>
      <c r="H15" s="43" t="inlineStr">
        <is>
          <t>Cash pay</t>
        </is>
      </c>
      <c r="I15" s="43" t="inlineStr">
        <is>
          <t>S13</t>
        </is>
      </c>
      <c r="J15" s="43" t="inlineStr">
        <is>
          <t>Price change</t>
        </is>
      </c>
      <c r="K15" s="43" t="inlineStr">
        <is>
          <t>Starting dose</t>
        </is>
      </c>
    </row>
    <row r="16">
      <c r="A16" s="29" t="inlineStr">
        <is>
          <t>2025-12-01</t>
        </is>
      </c>
      <c r="B16" s="45" t="inlineStr">
        <is>
          <t>Zepbound</t>
        </is>
      </c>
      <c r="C16" s="45" t="inlineStr">
        <is>
          <t>Vial / future KwikPen</t>
        </is>
      </c>
      <c r="D16" s="45" t="inlineStr">
        <is>
          <t>5 mg</t>
        </is>
      </c>
      <c r="E16" s="22" t="n">
        <v>399</v>
      </c>
      <c r="F16" s="45" t="inlineStr">
        <is>
          <t>USD / 28 days</t>
        </is>
      </c>
      <c r="G16" s="45" t="inlineStr">
        <is>
          <t>LillyDirect</t>
        </is>
      </c>
      <c r="H16" s="45" t="inlineStr">
        <is>
          <t>Cash pay</t>
        </is>
      </c>
      <c r="I16" s="45" t="inlineStr">
        <is>
          <t>S13</t>
        </is>
      </c>
      <c r="J16" s="45" t="inlineStr">
        <is>
          <t>Price change</t>
        </is>
      </c>
      <c r="K16" s="45" t="inlineStr">
        <is>
          <t>Second dose</t>
        </is>
      </c>
    </row>
    <row r="17">
      <c r="A17" s="28" t="inlineStr">
        <is>
          <t>2025-12-01</t>
        </is>
      </c>
      <c r="B17" s="43" t="inlineStr">
        <is>
          <t>Zepbound</t>
        </is>
      </c>
      <c r="C17" s="43" t="inlineStr">
        <is>
          <t>Vial / future KwikPen</t>
        </is>
      </c>
      <c r="D17" s="43" t="inlineStr">
        <is>
          <t>7.5-15 mg</t>
        </is>
      </c>
      <c r="E17" s="21" t="n">
        <v>449</v>
      </c>
      <c r="F17" s="43" t="inlineStr">
        <is>
          <t>USD / 28 days</t>
        </is>
      </c>
      <c r="G17" s="43" t="inlineStr">
        <is>
          <t>Self Pay Journey</t>
        </is>
      </c>
      <c r="H17" s="43" t="inlineStr">
        <is>
          <t>Program conditions including timely refill</t>
        </is>
      </c>
      <c r="I17" s="43" t="inlineStr">
        <is>
          <t>S13</t>
        </is>
      </c>
      <c r="J17" s="43" t="inlineStr">
        <is>
          <t>Conditional price</t>
        </is>
      </c>
      <c r="K17" s="43" t="inlineStr">
        <is>
          <t>Not the unconditional standard price</t>
        </is>
      </c>
    </row>
    <row r="18">
      <c r="A18" s="29" t="inlineStr">
        <is>
          <t>2025-12-01</t>
        </is>
      </c>
      <c r="B18" s="45" t="inlineStr">
        <is>
          <t>Zepbound</t>
        </is>
      </c>
      <c r="C18" s="45" t="inlineStr">
        <is>
          <t>Vial</t>
        </is>
      </c>
      <c r="D18" s="45" t="inlineStr">
        <is>
          <t>12.5 mg</t>
        </is>
      </c>
      <c r="E18" s="22" t="n">
        <v>849</v>
      </c>
      <c r="F18" s="45" t="inlineStr">
        <is>
          <t>USD / 28 days</t>
        </is>
      </c>
      <c r="G18" s="45" t="inlineStr">
        <is>
          <t>LillyDirect</t>
        </is>
      </c>
      <c r="H18" s="45" t="inlineStr">
        <is>
          <t>Regular price if not refilled within 45 days</t>
        </is>
      </c>
      <c r="I18" s="45" t="inlineStr">
        <is>
          <t>S26</t>
        </is>
      </c>
      <c r="J18" s="45" t="inlineStr">
        <is>
          <t>Stated regular price</t>
        </is>
      </c>
      <c r="K18" s="45" t="inlineStr">
        <is>
          <t>Regular price stated in Lilly's Dec 1, 2025 release; vial launch-date regular price not documented</t>
        </is>
      </c>
    </row>
    <row r="19">
      <c r="A19" s="28" t="inlineStr">
        <is>
          <t>2025-12-01</t>
        </is>
      </c>
      <c r="B19" s="43" t="inlineStr">
        <is>
          <t>Zepbound</t>
        </is>
      </c>
      <c r="C19" s="43" t="inlineStr">
        <is>
          <t>Vial</t>
        </is>
      </c>
      <c r="D19" s="43" t="inlineStr">
        <is>
          <t>15 mg</t>
        </is>
      </c>
      <c r="E19" s="21" t="n">
        <v>1049</v>
      </c>
      <c r="F19" s="43" t="inlineStr">
        <is>
          <t>USD / 28 days</t>
        </is>
      </c>
      <c r="G19" s="43" t="inlineStr">
        <is>
          <t>LillyDirect</t>
        </is>
      </c>
      <c r="H19" s="43" t="inlineStr">
        <is>
          <t>Regular price if not refilled within 45 days</t>
        </is>
      </c>
      <c r="I19" s="43" t="inlineStr">
        <is>
          <t>S26</t>
        </is>
      </c>
      <c r="J19" s="43" t="inlineStr">
        <is>
          <t>Stated regular price</t>
        </is>
      </c>
      <c r="K19" s="43" t="inlineStr">
        <is>
          <t>Regular price stated in Lilly's Dec 1, 2025 release</t>
        </is>
      </c>
    </row>
    <row r="20">
      <c r="A20" s="29" t="inlineStr">
        <is>
          <t>2026-01-05</t>
        </is>
      </c>
      <c r="B20" s="45" t="inlineStr">
        <is>
          <t>Wegovy tablets</t>
        </is>
      </c>
      <c r="C20" s="45" t="inlineStr">
        <is>
          <t>Tablet</t>
        </is>
      </c>
      <c r="D20" s="45" t="inlineStr">
        <is>
          <t>1.5 mg</t>
        </is>
      </c>
      <c r="E20" s="22" t="n">
        <v>149</v>
      </c>
      <c r="F20" s="45" t="inlineStr">
        <is>
          <t>USD / 30 days</t>
        </is>
      </c>
      <c r="G20" s="45" t="inlineStr">
        <is>
          <t>NovoCare / partners</t>
        </is>
      </c>
      <c r="H20" s="45" t="inlineStr">
        <is>
          <t>Self-pay</t>
        </is>
      </c>
      <c r="I20" s="45" t="inlineStr">
        <is>
          <t>S16</t>
        </is>
      </c>
      <c r="J20" s="45" t="inlineStr">
        <is>
          <t>Launch</t>
        </is>
      </c>
      <c r="K20" s="45" t="inlineStr">
        <is>
          <t>30 tablets</t>
        </is>
      </c>
    </row>
    <row r="21">
      <c r="A21" s="28" t="inlineStr">
        <is>
          <t>2026-01-05</t>
        </is>
      </c>
      <c r="B21" s="43" t="inlineStr">
        <is>
          <t>Wegovy tablets</t>
        </is>
      </c>
      <c r="C21" s="43" t="inlineStr">
        <is>
          <t>Tablet</t>
        </is>
      </c>
      <c r="D21" s="43" t="inlineStr">
        <is>
          <t>4 mg</t>
        </is>
      </c>
      <c r="E21" s="21" t="n">
        <v>149</v>
      </c>
      <c r="F21" s="43" t="inlineStr">
        <is>
          <t>USD / 30 days</t>
        </is>
      </c>
      <c r="G21" s="43" t="inlineStr">
        <is>
          <t>NovoCare / partners</t>
        </is>
      </c>
      <c r="H21" s="43" t="inlineStr">
        <is>
          <t>Launch promotion</t>
        </is>
      </c>
      <c r="I21" s="43" t="inlineStr">
        <is>
          <t>S16</t>
        </is>
      </c>
      <c r="J21" s="43" t="inlineStr">
        <is>
          <t>Temporary launch price</t>
        </is>
      </c>
      <c r="K21" s="43" t="inlineStr">
        <is>
          <t>Later public/current price is $199</t>
        </is>
      </c>
    </row>
    <row r="22">
      <c r="A22" s="29" t="inlineStr">
        <is>
          <t>2026-01-05</t>
        </is>
      </c>
      <c r="B22" s="45" t="inlineStr">
        <is>
          <t>Wegovy tablets</t>
        </is>
      </c>
      <c r="C22" s="45" t="inlineStr">
        <is>
          <t>Tablet</t>
        </is>
      </c>
      <c r="D22" s="45" t="inlineStr">
        <is>
          <t>9 and 25 mg</t>
        </is>
      </c>
      <c r="E22" s="22" t="n">
        <v>299</v>
      </c>
      <c r="F22" s="45" t="inlineStr">
        <is>
          <t>USD / 30 days</t>
        </is>
      </c>
      <c r="G22" s="45" t="inlineStr">
        <is>
          <t>NovoCare / partners</t>
        </is>
      </c>
      <c r="H22" s="45" t="inlineStr">
        <is>
          <t>Self-pay</t>
        </is>
      </c>
      <c r="I22" s="45" t="inlineStr">
        <is>
          <t>S16</t>
        </is>
      </c>
      <c r="J22" s="45" t="inlineStr">
        <is>
          <t>Launch</t>
        </is>
      </c>
      <c r="K22" s="45" t="inlineStr">
        <is>
          <t>Higher-dose cash tier</t>
        </is>
      </c>
    </row>
    <row r="23">
      <c r="A23" s="28" t="inlineStr">
        <is>
          <t>2026-02-23</t>
        </is>
      </c>
      <c r="B23" s="43" t="inlineStr">
        <is>
          <t>Zepbound</t>
        </is>
      </c>
      <c r="C23" s="43" t="inlineStr">
        <is>
          <t>KwikPen</t>
        </is>
      </c>
      <c r="D23" s="43" t="inlineStr">
        <is>
          <t>2.5 mg</t>
        </is>
      </c>
      <c r="E23" s="21" t="n">
        <v>299</v>
      </c>
      <c r="F23" s="43" t="inlineStr">
        <is>
          <t>USD / 28 days</t>
        </is>
      </c>
      <c r="G23" s="43" t="inlineStr">
        <is>
          <t>LillyDirect</t>
        </is>
      </c>
      <c r="H23" s="43" t="inlineStr">
        <is>
          <t>Self-pay</t>
        </is>
      </c>
      <c r="I23" s="43" t="inlineStr">
        <is>
          <t>S23</t>
        </is>
      </c>
      <c r="J23" s="43" t="inlineStr">
        <is>
          <t>Device launch</t>
        </is>
      </c>
      <c r="K23" s="43" t="inlineStr">
        <is>
          <t>Four-dose multidose device</t>
        </is>
      </c>
    </row>
    <row r="24">
      <c r="A24" s="29" t="inlineStr">
        <is>
          <t>2026-02-23</t>
        </is>
      </c>
      <c r="B24" s="45" t="inlineStr">
        <is>
          <t>Zepbound</t>
        </is>
      </c>
      <c r="C24" s="45" t="inlineStr">
        <is>
          <t>Vial / KwikPen</t>
        </is>
      </c>
      <c r="D24" s="45" t="inlineStr">
        <is>
          <t>7.5 mg</t>
        </is>
      </c>
      <c r="E24" s="22" t="n">
        <v>499</v>
      </c>
      <c r="F24" s="45" t="inlineStr">
        <is>
          <t>USD / 28 days</t>
        </is>
      </c>
      <c r="G24" s="45" t="inlineStr">
        <is>
          <t>LillyDirect</t>
        </is>
      </c>
      <c r="H24" s="45" t="inlineStr">
        <is>
          <t>Regular price if not refilled within 45 days</t>
        </is>
      </c>
      <c r="I24" s="45" t="inlineStr">
        <is>
          <t>S27</t>
        </is>
      </c>
      <c r="J24" s="45" t="inlineStr">
        <is>
          <t>Price change</t>
        </is>
      </c>
      <c r="K24" s="45" t="inlineStr">
        <is>
          <t>Regular tier down from $599; vial and KwikPen priced the same from the KwikPen launch</t>
        </is>
      </c>
    </row>
    <row r="25">
      <c r="A25" s="28" t="inlineStr">
        <is>
          <t>2026-02-23</t>
        </is>
      </c>
      <c r="B25" s="43" t="inlineStr">
        <is>
          <t>Zepbound</t>
        </is>
      </c>
      <c r="C25" s="43" t="inlineStr">
        <is>
          <t>Vial / KwikPen</t>
        </is>
      </c>
      <c r="D25" s="43" t="inlineStr">
        <is>
          <t>12.5 and 15 mg</t>
        </is>
      </c>
      <c r="E25" s="21" t="n">
        <v>699</v>
      </c>
      <c r="F25" s="43" t="inlineStr">
        <is>
          <t>USD / 28 days</t>
        </is>
      </c>
      <c r="G25" s="43" t="inlineStr">
        <is>
          <t>LillyDirect</t>
        </is>
      </c>
      <c r="H25" s="43" t="inlineStr">
        <is>
          <t>Regular price if not refilled within 45 days</t>
        </is>
      </c>
      <c r="I25" s="43" t="inlineStr">
        <is>
          <t>S27</t>
        </is>
      </c>
      <c r="J25" s="43" t="inlineStr">
        <is>
          <t>Price change</t>
        </is>
      </c>
      <c r="K25" s="43" t="inlineStr">
        <is>
          <t>Regular tier down from $849 and $1,049; vial and KwikPen priced the same from the KwikPen launch</t>
        </is>
      </c>
    </row>
    <row r="26">
      <c r="A26" s="29" t="inlineStr">
        <is>
          <t>2026-04-01</t>
        </is>
      </c>
      <c r="B26" s="45" t="inlineStr">
        <is>
          <t>Foundayo</t>
        </is>
      </c>
      <c r="C26" s="45" t="inlineStr">
        <is>
          <t>Tablet</t>
        </is>
      </c>
      <c r="D26" s="45" t="inlineStr">
        <is>
          <t>Lowest dose</t>
        </is>
      </c>
      <c r="E26" s="22" t="n">
        <v>149</v>
      </c>
      <c r="F26" s="45" t="inlineStr">
        <is>
          <t>USD / 30 days</t>
        </is>
      </c>
      <c r="G26" s="45" t="inlineStr">
        <is>
          <t>LillyDirect</t>
        </is>
      </c>
      <c r="H26" s="45" t="inlineStr">
        <is>
          <t>Self-pay</t>
        </is>
      </c>
      <c r="I26" s="45" t="inlineStr">
        <is>
          <t>S19</t>
        </is>
      </c>
      <c r="J26" s="45" t="inlineStr">
        <is>
          <t>Launch announced</t>
        </is>
      </c>
      <c r="K26" s="45" t="inlineStr">
        <is>
          <t>Shipping began 2026-04-06</t>
        </is>
      </c>
    </row>
    <row r="27">
      <c r="A27" s="28" t="inlineStr">
        <is>
          <t>2026-04-01</t>
        </is>
      </c>
      <c r="B27" s="43" t="inlineStr">
        <is>
          <t>Foundayo</t>
        </is>
      </c>
      <c r="C27" s="43" t="inlineStr">
        <is>
          <t>Tablet</t>
        </is>
      </c>
      <c r="D27" s="43" t="inlineStr">
        <is>
          <t>Higher doses</t>
        </is>
      </c>
      <c r="E27" s="21" t="n">
        <v>349</v>
      </c>
      <c r="F27" s="43" t="inlineStr">
        <is>
          <t>USD / 30 days</t>
        </is>
      </c>
      <c r="G27" s="43" t="inlineStr">
        <is>
          <t>LillyDirect</t>
        </is>
      </c>
      <c r="H27" s="43" t="inlineStr">
        <is>
          <t>Self-pay; varies by dose</t>
        </is>
      </c>
      <c r="I27" s="43" t="inlineStr">
        <is>
          <t>S19</t>
        </is>
      </c>
      <c r="J27" s="43" t="inlineStr">
        <is>
          <t>Launch range</t>
        </is>
      </c>
      <c r="K27" s="43" t="inlineStr">
        <is>
          <t>Public range maximum</t>
        </is>
      </c>
    </row>
    <row r="28">
      <c r="A28" s="29" t="inlineStr">
        <is>
          <t>2026-04-07</t>
        </is>
      </c>
      <c r="B28" s="45" t="inlineStr">
        <is>
          <t>Wegovy HD</t>
        </is>
      </c>
      <c r="C28" s="45" t="inlineStr">
        <is>
          <t>Injection</t>
        </is>
      </c>
      <c r="D28" s="45" t="inlineStr">
        <is>
          <t>7.2 mg</t>
        </is>
      </c>
      <c r="E28" s="22" t="n">
        <v>399</v>
      </c>
      <c r="F28" s="45" t="inlineStr">
        <is>
          <t>USD / 28 days</t>
        </is>
      </c>
      <c r="G28" s="45" t="inlineStr">
        <is>
          <t>NovoCare / partners</t>
        </is>
      </c>
      <c r="H28" s="45" t="inlineStr">
        <is>
          <t>Self-pay</t>
        </is>
      </c>
      <c r="I28" s="45" t="inlineStr">
        <is>
          <t>S16</t>
        </is>
      </c>
      <c r="J28" s="45" t="inlineStr">
        <is>
          <t>Launch</t>
        </is>
      </c>
      <c r="K28" s="45" t="inlineStr">
        <is>
          <t>Higher-dose injection</t>
        </is>
      </c>
    </row>
    <row r="29" ht="26" customHeight="1" s="48">
      <c r="A29" s="28" t="inlineStr">
        <is>
          <t>2026-09-01</t>
        </is>
      </c>
      <c r="B29" s="43" t="inlineStr">
        <is>
          <t>Wegovy tablets</t>
        </is>
      </c>
      <c r="C29" s="43" t="inlineStr">
        <is>
          <t>Tablet</t>
        </is>
      </c>
      <c r="D29" s="43" t="inlineStr">
        <is>
          <t>4 mg</t>
        </is>
      </c>
      <c r="E29" s="21" t="n">
        <v>199</v>
      </c>
      <c r="F29" s="43" t="inlineStr">
        <is>
          <t>USD / 30 days</t>
        </is>
      </c>
      <c r="G29" s="43" t="inlineStr">
        <is>
          <t>NovoCare / partners</t>
        </is>
      </c>
      <c r="H29" s="43" t="inlineStr">
        <is>
          <t>Self-pay</t>
        </is>
      </c>
      <c r="I29" s="43" t="inlineStr">
        <is>
          <t>S30</t>
        </is>
      </c>
      <c r="J29" s="43" t="inlineStr">
        <is>
          <t>Price change</t>
        </is>
      </c>
      <c r="K29" s="43" t="inlineStr">
        <is>
          <t>Launch price of $149 ended Aug 31, 2026 (increase)</t>
        </is>
      </c>
    </row>
    <row r="30" ht="26" customHeight="1" s="48">
      <c r="A30" s="29" t="inlineStr">
        <is>
          <t>2026-10-07</t>
        </is>
      </c>
      <c r="B30" s="45" t="inlineStr">
        <is>
          <t>Zepbound</t>
        </is>
      </c>
      <c r="C30" s="45" t="inlineStr">
        <is>
          <t>Vial / KwikPen</t>
        </is>
      </c>
      <c r="D30" s="45" t="inlineStr">
        <is>
          <t>2.5 mg</t>
        </is>
      </c>
      <c r="E30" s="22" t="n">
        <v>299</v>
      </c>
      <c r="F30" s="45" t="inlineStr">
        <is>
          <t>USD / 28 days</t>
        </is>
      </c>
      <c r="G30" s="45" t="inlineStr">
        <is>
          <t>LillyDirect</t>
        </is>
      </c>
      <c r="H30" s="45" t="inlineStr">
        <is>
          <t>Standard current direct-to-patient tier</t>
        </is>
      </c>
      <c r="I30" s="45" t="inlineStr">
        <is>
          <t>S27</t>
        </is>
      </c>
      <c r="J30" s="45" t="inlineStr">
        <is>
          <t>Current observed (re-checked 2026-10-07)</t>
        </is>
      </c>
      <c r="K30" s="45" t="inlineStr">
        <is>
          <t>Not the single-dose pen WAC</t>
        </is>
      </c>
    </row>
    <row r="31">
      <c r="A31" s="28" t="inlineStr">
        <is>
          <t>2026-10-07</t>
        </is>
      </c>
      <c r="B31" s="43" t="inlineStr">
        <is>
          <t>Zepbound</t>
        </is>
      </c>
      <c r="C31" s="43" t="inlineStr">
        <is>
          <t>Vial / KwikPen</t>
        </is>
      </c>
      <c r="D31" s="43" t="inlineStr">
        <is>
          <t>5 mg</t>
        </is>
      </c>
      <c r="E31" s="21" t="n">
        <v>399</v>
      </c>
      <c r="F31" s="43" t="inlineStr">
        <is>
          <t>USD / 28 days</t>
        </is>
      </c>
      <c r="G31" s="43" t="inlineStr">
        <is>
          <t>LillyDirect</t>
        </is>
      </c>
      <c r="H31" s="43" t="inlineStr">
        <is>
          <t>Standard current direct-to-patient tier</t>
        </is>
      </c>
      <c r="I31" s="43" t="inlineStr">
        <is>
          <t>S27</t>
        </is>
      </c>
      <c r="J31" s="43" t="inlineStr">
        <is>
          <t>Current observed (re-checked 2026-10-07)</t>
        </is>
      </c>
      <c r="K31" s="43" t="inlineStr">
        <is>
          <t>Not WAC</t>
        </is>
      </c>
    </row>
    <row r="32">
      <c r="A32" s="29" t="inlineStr">
        <is>
          <t>2026-10-07</t>
        </is>
      </c>
      <c r="B32" s="45" t="inlineStr">
        <is>
          <t>Zepbound</t>
        </is>
      </c>
      <c r="C32" s="45" t="inlineStr">
        <is>
          <t>Vial / KwikPen</t>
        </is>
      </c>
      <c r="D32" s="45" t="inlineStr">
        <is>
          <t>7.5 mg</t>
        </is>
      </c>
      <c r="E32" s="22" t="n">
        <v>499</v>
      </c>
      <c r="F32" s="45" t="inlineStr">
        <is>
          <t>USD / 28 days</t>
        </is>
      </c>
      <c r="G32" s="45" t="inlineStr">
        <is>
          <t>LillyDirect</t>
        </is>
      </c>
      <c r="H32" s="45" t="inlineStr">
        <is>
          <t>Regular price if not refilled within 45 days; $449 under Self Pay Journey</t>
        </is>
      </c>
      <c r="I32" s="45" t="inlineStr">
        <is>
          <t>S27</t>
        </is>
      </c>
      <c r="J32" s="45" t="inlineStr">
        <is>
          <t>Current observed (re-checked 2026-10-07)</t>
        </is>
      </c>
      <c r="K32" s="45" t="inlineStr">
        <is>
          <t>Verify live terms at purchase</t>
        </is>
      </c>
    </row>
    <row r="33">
      <c r="A33" s="28" t="inlineStr">
        <is>
          <t>2026-10-07</t>
        </is>
      </c>
      <c r="B33" s="43" t="inlineStr">
        <is>
          <t>Zepbound</t>
        </is>
      </c>
      <c r="C33" s="43" t="inlineStr">
        <is>
          <t>Vial / KwikPen</t>
        </is>
      </c>
      <c r="D33" s="43" t="inlineStr">
        <is>
          <t>10, 12.5, 15 mg</t>
        </is>
      </c>
      <c r="E33" s="21" t="n">
        <v>699</v>
      </c>
      <c r="F33" s="43" t="inlineStr">
        <is>
          <t>USD / 28 days</t>
        </is>
      </c>
      <c r="G33" s="43" t="inlineStr">
        <is>
          <t>LillyDirect</t>
        </is>
      </c>
      <c r="H33" s="43" t="inlineStr">
        <is>
          <t>Regular price if not refilled within 45 days; $449 under Self Pay Journey</t>
        </is>
      </c>
      <c r="I33" s="43" t="inlineStr">
        <is>
          <t>S27</t>
        </is>
      </c>
      <c r="J33" s="43" t="inlineStr">
        <is>
          <t>Current observed (re-checked 2026-10-07)</t>
        </is>
      </c>
      <c r="K33" s="43" t="inlineStr">
        <is>
          <t>Verify live terms at purchase</t>
        </is>
      </c>
    </row>
    <row r="34">
      <c r="A34" s="29" t="inlineStr">
        <is>
          <t>2026-10-07</t>
        </is>
      </c>
      <c r="B34" s="45" t="inlineStr">
        <is>
          <t>Wegovy</t>
        </is>
      </c>
      <c r="C34" s="45" t="inlineStr">
        <is>
          <t>Injection</t>
        </is>
      </c>
      <c r="D34" s="45" t="inlineStr">
        <is>
          <t>0.25-2.4 mg</t>
        </is>
      </c>
      <c r="E34" s="22" t="n">
        <v>349</v>
      </c>
      <c r="F34" s="45" t="inlineStr">
        <is>
          <t>USD / 28 days</t>
        </is>
      </c>
      <c r="G34" s="45" t="inlineStr">
        <is>
          <t>NovoCare / partners</t>
        </is>
      </c>
      <c r="H34" s="45" t="inlineStr">
        <is>
          <t>Self-pay</t>
        </is>
      </c>
      <c r="I34" s="45" t="inlineStr">
        <is>
          <t>S16</t>
        </is>
      </c>
      <c r="J34" s="45" t="inlineStr">
        <is>
          <t>Current observed (re-checked 2026-10-07)</t>
        </is>
      </c>
      <c r="K34" s="45" t="inlineStr">
        <is>
          <t>Introductory lower-dose offer may apply</t>
        </is>
      </c>
    </row>
    <row r="35">
      <c r="A35" s="28" t="inlineStr">
        <is>
          <t>2026-10-07</t>
        </is>
      </c>
      <c r="B35" s="43" t="inlineStr">
        <is>
          <t>Wegovy HD</t>
        </is>
      </c>
      <c r="C35" s="43" t="inlineStr">
        <is>
          <t>Injection</t>
        </is>
      </c>
      <c r="D35" s="43" t="inlineStr">
        <is>
          <t>7.2 mg</t>
        </is>
      </c>
      <c r="E35" s="21" t="n">
        <v>399</v>
      </c>
      <c r="F35" s="43" t="inlineStr">
        <is>
          <t>USD / 28 days</t>
        </is>
      </c>
      <c r="G35" s="43" t="inlineStr">
        <is>
          <t>NovoCare / partners</t>
        </is>
      </c>
      <c r="H35" s="43" t="inlineStr">
        <is>
          <t>Self-pay</t>
        </is>
      </c>
      <c r="I35" s="43" t="inlineStr">
        <is>
          <t>S16</t>
        </is>
      </c>
      <c r="J35" s="43" t="inlineStr">
        <is>
          <t>Current observed (re-checked 2026-10-07)</t>
        </is>
      </c>
      <c r="K35" s="43" t="inlineStr">
        <is>
          <t>Current public terms</t>
        </is>
      </c>
    </row>
    <row r="36">
      <c r="A36" s="29" t="inlineStr">
        <is>
          <t>2026-10-07</t>
        </is>
      </c>
      <c r="B36" s="45" t="inlineStr">
        <is>
          <t>Wegovy tablets</t>
        </is>
      </c>
      <c r="C36" s="45" t="inlineStr">
        <is>
          <t>Tablet</t>
        </is>
      </c>
      <c r="D36" s="45" t="inlineStr">
        <is>
          <t>1.5 mg</t>
        </is>
      </c>
      <c r="E36" s="22" t="n">
        <v>149</v>
      </c>
      <c r="F36" s="45" t="inlineStr">
        <is>
          <t>USD / 30 days</t>
        </is>
      </c>
      <c r="G36" s="45" t="inlineStr">
        <is>
          <t>NovoCare / partners</t>
        </is>
      </c>
      <c r="H36" s="45" t="inlineStr">
        <is>
          <t>Self-pay</t>
        </is>
      </c>
      <c r="I36" s="45" t="inlineStr">
        <is>
          <t>S30</t>
        </is>
      </c>
      <c r="J36" s="45" t="inlineStr">
        <is>
          <t>Current observed (re-checked 2026-10-07)</t>
        </is>
      </c>
      <c r="K36" s="45" t="inlineStr">
        <is>
          <t>Current public terms</t>
        </is>
      </c>
    </row>
    <row r="37">
      <c r="A37" s="28" t="inlineStr">
        <is>
          <t>2026-10-07</t>
        </is>
      </c>
      <c r="B37" s="43" t="inlineStr">
        <is>
          <t>Wegovy tablets</t>
        </is>
      </c>
      <c r="C37" s="43" t="inlineStr">
        <is>
          <t>Tablet</t>
        </is>
      </c>
      <c r="D37" s="43" t="inlineStr">
        <is>
          <t>4 mg</t>
        </is>
      </c>
      <c r="E37" s="21" t="n">
        <v>199</v>
      </c>
      <c r="F37" s="43" t="inlineStr">
        <is>
          <t>USD / 30 days</t>
        </is>
      </c>
      <c r="G37" s="43" t="inlineStr">
        <is>
          <t>NovoCare / partners</t>
        </is>
      </c>
      <c r="H37" s="43" t="inlineStr">
        <is>
          <t>Self-pay</t>
        </is>
      </c>
      <c r="I37" s="43" t="inlineStr">
        <is>
          <t>S30</t>
        </is>
      </c>
      <c r="J37" s="43" t="inlineStr">
        <is>
          <t>Current observed (re-checked 2026-10-07)</t>
        </is>
      </c>
      <c r="K37" s="43" t="inlineStr">
        <is>
          <t>Current public terms</t>
        </is>
      </c>
    </row>
    <row r="38">
      <c r="A38" s="29" t="inlineStr">
        <is>
          <t>2026-10-07</t>
        </is>
      </c>
      <c r="B38" s="45" t="inlineStr">
        <is>
          <t>Wegovy tablets</t>
        </is>
      </c>
      <c r="C38" s="45" t="inlineStr">
        <is>
          <t>Tablet</t>
        </is>
      </c>
      <c r="D38" s="45" t="inlineStr">
        <is>
          <t>9 and 25 mg</t>
        </is>
      </c>
      <c r="E38" s="22" t="n">
        <v>299</v>
      </c>
      <c r="F38" s="45" t="inlineStr">
        <is>
          <t>USD / 30 days</t>
        </is>
      </c>
      <c r="G38" s="45" t="inlineStr">
        <is>
          <t>NovoCare / partners</t>
        </is>
      </c>
      <c r="H38" s="45" t="inlineStr">
        <is>
          <t>Self-pay</t>
        </is>
      </c>
      <c r="I38" s="45" t="inlineStr">
        <is>
          <t>S30</t>
        </is>
      </c>
      <c r="J38" s="45" t="inlineStr">
        <is>
          <t>Current observed (re-checked 2026-10-07)</t>
        </is>
      </c>
      <c r="K38" s="45" t="inlineStr">
        <is>
          <t>Current public terms</t>
        </is>
      </c>
    </row>
    <row r="39"/>
    <row r="40"/>
    <row r="41"/>
    <row r="42"/>
    <row r="43"/>
    <row r="44" ht="22" customHeight="1" s="48">
      <c r="A44" s="39" t="inlineStr">
        <is>
          <t>Monthly step series from dated cash-price events</t>
        </is>
      </c>
    </row>
    <row r="45" ht="30" customHeight="1" s="48">
      <c r="A45" s="17" t="inlineStr">
        <is>
          <t>Month</t>
        </is>
      </c>
      <c r="B45" s="17" t="inlineStr">
        <is>
          <t>Zepbound 2.5 mg</t>
        </is>
      </c>
      <c r="C45" s="17" t="inlineStr">
        <is>
          <t>Zepbound 5 mg</t>
        </is>
      </c>
      <c r="D45" s="17" t="inlineStr">
        <is>
          <t>Zepbound 7.5+ Journey</t>
        </is>
      </c>
      <c r="E45" s="17" t="inlineStr">
        <is>
          <t>Wegovy injection</t>
        </is>
      </c>
      <c r="F45" s="17" t="n"/>
      <c r="G45" s="17" t="inlineStr">
        <is>
          <t>Wegovy tablets 1.5</t>
        </is>
      </c>
      <c r="H45" s="17" t="inlineStr">
        <is>
          <t>Foundayo low dose</t>
        </is>
      </c>
      <c r="I45" s="17" t="inlineStr">
        <is>
          <t>Wegovy HD</t>
        </is>
      </c>
    </row>
    <row r="46">
      <c r="A46" s="43" t="inlineStr">
        <is>
          <t>2024-08</t>
        </is>
      </c>
      <c r="B46" s="21" t="n">
        <v>399</v>
      </c>
      <c r="C46" s="21" t="n">
        <v>549</v>
      </c>
      <c r="D46" s="21" t="n"/>
      <c r="E46" s="21" t="n"/>
      <c r="F46" s="21" t="n"/>
      <c r="G46" s="21" t="n"/>
      <c r="H46" s="21" t="n"/>
      <c r="I46" s="21" t="n"/>
    </row>
    <row r="47">
      <c r="A47" s="45" t="inlineStr">
        <is>
          <t>2024-09</t>
        </is>
      </c>
      <c r="B47" s="22" t="n">
        <v>399</v>
      </c>
      <c r="C47" s="22" t="n">
        <v>549</v>
      </c>
      <c r="D47" s="22" t="n"/>
      <c r="E47" s="22" t="n"/>
      <c r="F47" s="22" t="n"/>
      <c r="G47" s="22" t="n"/>
      <c r="H47" s="22" t="n"/>
      <c r="I47" s="22" t="n"/>
    </row>
    <row r="48">
      <c r="A48" s="43" t="inlineStr">
        <is>
          <t>2024-10</t>
        </is>
      </c>
      <c r="B48" s="21" t="n">
        <v>399</v>
      </c>
      <c r="C48" s="21" t="n">
        <v>549</v>
      </c>
      <c r="D48" s="21" t="n"/>
      <c r="E48" s="21" t="n"/>
      <c r="F48" s="21" t="n"/>
      <c r="G48" s="21" t="n"/>
      <c r="H48" s="21" t="n"/>
      <c r="I48" s="21" t="n"/>
    </row>
    <row r="49">
      <c r="A49" s="45" t="inlineStr">
        <is>
          <t>2024-11</t>
        </is>
      </c>
      <c r="B49" s="22" t="n">
        <v>399</v>
      </c>
      <c r="C49" s="22" t="n">
        <v>549</v>
      </c>
      <c r="D49" s="22" t="n"/>
      <c r="E49" s="22" t="n"/>
      <c r="F49" s="22" t="n"/>
      <c r="G49" s="22" t="n"/>
      <c r="H49" s="22" t="n"/>
      <c r="I49" s="22" t="n"/>
    </row>
    <row r="50">
      <c r="A50" s="43" t="inlineStr">
        <is>
          <t>2024-12</t>
        </is>
      </c>
      <c r="B50" s="21" t="n">
        <v>399</v>
      </c>
      <c r="C50" s="21" t="n">
        <v>549</v>
      </c>
      <c r="D50" s="21" t="n"/>
      <c r="E50" s="21" t="n"/>
      <c r="F50" s="21" t="n"/>
      <c r="G50" s="21" t="n"/>
      <c r="H50" s="21" t="n"/>
      <c r="I50" s="21" t="n"/>
    </row>
    <row r="51">
      <c r="A51" s="45" t="inlineStr">
        <is>
          <t>2025-01</t>
        </is>
      </c>
      <c r="B51" s="22" t="n">
        <v>399</v>
      </c>
      <c r="C51" s="22" t="n">
        <v>549</v>
      </c>
      <c r="D51" s="22" t="n"/>
      <c r="E51" s="22" t="n"/>
      <c r="F51" s="22" t="n"/>
      <c r="G51" s="22" t="n"/>
      <c r="H51" s="22" t="n"/>
      <c r="I51" s="22" t="n"/>
    </row>
    <row r="52">
      <c r="A52" s="43" t="inlineStr">
        <is>
          <t>2025-02</t>
        </is>
      </c>
      <c r="B52" s="21" t="n">
        <v>349</v>
      </c>
      <c r="C52" s="21" t="n">
        <v>499</v>
      </c>
      <c r="D52" s="21" t="n">
        <v>499</v>
      </c>
      <c r="E52" s="21" t="n"/>
      <c r="F52" s="21" t="n"/>
      <c r="G52" s="21" t="n"/>
      <c r="H52" s="21" t="n"/>
      <c r="I52" s="21" t="n"/>
    </row>
    <row r="53">
      <c r="A53" s="45" t="inlineStr">
        <is>
          <t>2025-03</t>
        </is>
      </c>
      <c r="B53" s="22" t="n">
        <v>349</v>
      </c>
      <c r="C53" s="22" t="n">
        <v>499</v>
      </c>
      <c r="D53" s="22" t="n">
        <v>499</v>
      </c>
      <c r="E53" s="22" t="n">
        <v>499</v>
      </c>
      <c r="F53" s="22" t="n"/>
      <c r="G53" s="22" t="n"/>
      <c r="H53" s="22" t="n"/>
      <c r="I53" s="22" t="n"/>
    </row>
    <row r="54">
      <c r="A54" s="43" t="inlineStr">
        <is>
          <t>2025-04</t>
        </is>
      </c>
      <c r="B54" s="21" t="n">
        <v>349</v>
      </c>
      <c r="C54" s="21" t="n">
        <v>499</v>
      </c>
      <c r="D54" s="21" t="n">
        <v>499</v>
      </c>
      <c r="E54" s="21" t="n">
        <v>499</v>
      </c>
      <c r="F54" s="21" t="n"/>
      <c r="G54" s="21" t="n"/>
      <c r="H54" s="21" t="n"/>
      <c r="I54" s="21" t="n"/>
    </row>
    <row r="55">
      <c r="A55" s="45" t="inlineStr">
        <is>
          <t>2025-05</t>
        </is>
      </c>
      <c r="B55" s="22" t="n">
        <v>349</v>
      </c>
      <c r="C55" s="22" t="n">
        <v>499</v>
      </c>
      <c r="D55" s="22" t="n">
        <v>499</v>
      </c>
      <c r="E55" s="22" t="n">
        <v>499</v>
      </c>
      <c r="F55" s="22" t="n"/>
      <c r="G55" s="22" t="n"/>
      <c r="H55" s="22" t="n"/>
      <c r="I55" s="22" t="n"/>
    </row>
    <row r="56">
      <c r="A56" s="43" t="inlineStr">
        <is>
          <t>2025-06</t>
        </is>
      </c>
      <c r="B56" s="21" t="n">
        <v>349</v>
      </c>
      <c r="C56" s="21" t="n">
        <v>499</v>
      </c>
      <c r="D56" s="21" t="n">
        <v>499</v>
      </c>
      <c r="E56" s="21" t="n">
        <v>499</v>
      </c>
      <c r="F56" s="21" t="n"/>
      <c r="G56" s="21" t="n"/>
      <c r="H56" s="21" t="n"/>
      <c r="I56" s="21" t="n"/>
    </row>
    <row r="57">
      <c r="A57" s="45" t="inlineStr">
        <is>
          <t>2025-07</t>
        </is>
      </c>
      <c r="B57" s="22" t="n">
        <v>349</v>
      </c>
      <c r="C57" s="22" t="n">
        <v>499</v>
      </c>
      <c r="D57" s="22" t="n">
        <v>499</v>
      </c>
      <c r="E57" s="22" t="n">
        <v>499</v>
      </c>
      <c r="F57" s="22" t="n"/>
      <c r="G57" s="22" t="n"/>
      <c r="H57" s="22" t="n"/>
      <c r="I57" s="22" t="n"/>
    </row>
    <row r="58">
      <c r="A58" s="43" t="inlineStr">
        <is>
          <t>2025-08</t>
        </is>
      </c>
      <c r="B58" s="21" t="n">
        <v>349</v>
      </c>
      <c r="C58" s="21" t="n">
        <v>499</v>
      </c>
      <c r="D58" s="21" t="n">
        <v>499</v>
      </c>
      <c r="E58" s="21" t="n">
        <v>499</v>
      </c>
      <c r="F58" s="21" t="n"/>
      <c r="G58" s="21" t="n"/>
      <c r="H58" s="21" t="n"/>
      <c r="I58" s="21" t="n"/>
    </row>
    <row r="59">
      <c r="A59" s="45" t="inlineStr">
        <is>
          <t>2025-09</t>
        </is>
      </c>
      <c r="B59" s="22" t="n">
        <v>349</v>
      </c>
      <c r="C59" s="22" t="n">
        <v>499</v>
      </c>
      <c r="D59" s="22" t="n">
        <v>499</v>
      </c>
      <c r="E59" s="22" t="n">
        <v>499</v>
      </c>
      <c r="F59" s="22" t="n"/>
      <c r="G59" s="22" t="n"/>
      <c r="H59" s="22" t="n"/>
      <c r="I59" s="22" t="n"/>
    </row>
    <row r="60">
      <c r="A60" s="43" t="inlineStr">
        <is>
          <t>2025-10</t>
        </is>
      </c>
      <c r="B60" s="21" t="n">
        <v>349</v>
      </c>
      <c r="C60" s="21" t="n">
        <v>499</v>
      </c>
      <c r="D60" s="21" t="n">
        <v>499</v>
      </c>
      <c r="E60" s="21" t="n">
        <v>499</v>
      </c>
      <c r="F60" s="21" t="n"/>
      <c r="G60" s="21" t="n"/>
      <c r="H60" s="21" t="n"/>
      <c r="I60" s="21" t="n"/>
    </row>
    <row r="61">
      <c r="A61" s="45" t="inlineStr">
        <is>
          <t>2025-11</t>
        </is>
      </c>
      <c r="B61" s="22" t="n">
        <v>349</v>
      </c>
      <c r="C61" s="22" t="n">
        <v>499</v>
      </c>
      <c r="D61" s="22" t="n">
        <v>499</v>
      </c>
      <c r="E61" s="22" t="n">
        <v>349</v>
      </c>
      <c r="F61" s="22" t="n"/>
      <c r="G61" s="22" t="n"/>
      <c r="H61" s="22" t="n"/>
      <c r="I61" s="22" t="n"/>
    </row>
    <row r="62">
      <c r="A62" s="43" t="inlineStr">
        <is>
          <t>2025-12</t>
        </is>
      </c>
      <c r="B62" s="21" t="n">
        <v>299</v>
      </c>
      <c r="C62" s="21" t="n">
        <v>399</v>
      </c>
      <c r="D62" s="21" t="n">
        <v>449</v>
      </c>
      <c r="E62" s="21" t="n">
        <v>349</v>
      </c>
      <c r="F62" s="21" t="n"/>
      <c r="G62" s="21" t="n"/>
      <c r="H62" s="21" t="n"/>
      <c r="I62" s="21" t="n"/>
    </row>
    <row r="63">
      <c r="A63" s="45" t="inlineStr">
        <is>
          <t>2026-01</t>
        </is>
      </c>
      <c r="B63" s="22" t="n">
        <v>299</v>
      </c>
      <c r="C63" s="22" t="n">
        <v>399</v>
      </c>
      <c r="D63" s="22" t="n">
        <v>449</v>
      </c>
      <c r="E63" s="22" t="n">
        <v>349</v>
      </c>
      <c r="F63" s="22" t="n"/>
      <c r="G63" s="22" t="n">
        <v>149</v>
      </c>
      <c r="H63" s="22" t="n"/>
      <c r="I63" s="22" t="n"/>
    </row>
    <row r="64">
      <c r="A64" s="43" t="inlineStr">
        <is>
          <t>2026-02</t>
        </is>
      </c>
      <c r="B64" s="21" t="n">
        <v>299</v>
      </c>
      <c r="C64" s="21" t="n">
        <v>399</v>
      </c>
      <c r="D64" s="21" t="n">
        <v>449</v>
      </c>
      <c r="E64" s="21" t="n">
        <v>349</v>
      </c>
      <c r="F64" s="21" t="n"/>
      <c r="G64" s="21" t="n">
        <v>149</v>
      </c>
      <c r="H64" s="21" t="n"/>
      <c r="I64" s="21" t="n"/>
    </row>
    <row r="65">
      <c r="A65" s="45" t="inlineStr">
        <is>
          <t>2026-03</t>
        </is>
      </c>
      <c r="B65" s="22" t="n">
        <v>299</v>
      </c>
      <c r="C65" s="22" t="n">
        <v>399</v>
      </c>
      <c r="D65" s="22" t="n">
        <v>449</v>
      </c>
      <c r="E65" s="22" t="n">
        <v>349</v>
      </c>
      <c r="F65" s="22" t="n"/>
      <c r="G65" s="22" t="n">
        <v>149</v>
      </c>
      <c r="H65" s="22" t="n"/>
      <c r="I65" s="22" t="n"/>
    </row>
    <row r="66">
      <c r="A66" s="43" t="inlineStr">
        <is>
          <t>2026-04</t>
        </is>
      </c>
      <c r="B66" s="21" t="n">
        <v>299</v>
      </c>
      <c r="C66" s="21" t="n">
        <v>399</v>
      </c>
      <c r="D66" s="21" t="n">
        <v>449</v>
      </c>
      <c r="E66" s="21" t="n">
        <v>349</v>
      </c>
      <c r="F66" s="21" t="n"/>
      <c r="G66" s="21" t="n">
        <v>149</v>
      </c>
      <c r="H66" s="21" t="n">
        <v>149</v>
      </c>
      <c r="I66" s="21" t="n">
        <v>399</v>
      </c>
    </row>
    <row r="67">
      <c r="A67" s="45" t="inlineStr">
        <is>
          <t>2026-05</t>
        </is>
      </c>
      <c r="B67" s="22" t="n">
        <v>299</v>
      </c>
      <c r="C67" s="22" t="n">
        <v>399</v>
      </c>
      <c r="D67" s="22" t="n">
        <v>449</v>
      </c>
      <c r="E67" s="22" t="n">
        <v>349</v>
      </c>
      <c r="F67" s="22" t="n"/>
      <c r="G67" s="22" t="n">
        <v>149</v>
      </c>
      <c r="H67" s="22" t="n">
        <v>149</v>
      </c>
      <c r="I67" s="22" t="n">
        <v>399</v>
      </c>
    </row>
    <row r="68">
      <c r="A68" s="43" t="inlineStr">
        <is>
          <t>2026-06</t>
        </is>
      </c>
      <c r="B68" s="21" t="n">
        <v>299</v>
      </c>
      <c r="C68" s="21" t="n">
        <v>399</v>
      </c>
      <c r="D68" s="21" t="n">
        <v>449</v>
      </c>
      <c r="E68" s="21" t="n">
        <v>349</v>
      </c>
      <c r="F68" s="21" t="n"/>
      <c r="G68" s="21" t="n">
        <v>149</v>
      </c>
      <c r="H68" s="21" t="n">
        <v>149</v>
      </c>
      <c r="I68" s="21" t="n">
        <v>399</v>
      </c>
    </row>
    <row r="69">
      <c r="A69" s="45" t="inlineStr">
        <is>
          <t>2026-07</t>
        </is>
      </c>
      <c r="B69" s="22" t="n">
        <v>299</v>
      </c>
      <c r="C69" s="22" t="n">
        <v>399</v>
      </c>
      <c r="D69" s="22" t="n">
        <v>449</v>
      </c>
      <c r="E69" s="22" t="n">
        <v>349</v>
      </c>
      <c r="F69" s="22" t="n"/>
      <c r="G69" s="22" t="n">
        <v>149</v>
      </c>
      <c r="H69" s="22" t="n">
        <v>149</v>
      </c>
      <c r="I69" s="22" t="n">
        <v>399</v>
      </c>
    </row>
    <row r="70">
      <c r="A70" s="43" t="inlineStr">
        <is>
          <t>2026-08</t>
        </is>
      </c>
      <c r="B70" s="21" t="n">
        <v>299</v>
      </c>
      <c r="C70" s="21" t="n">
        <v>399</v>
      </c>
      <c r="D70" s="21" t="n">
        <v>449</v>
      </c>
      <c r="E70" s="21" t="n">
        <v>349</v>
      </c>
      <c r="F70" s="21" t="n"/>
      <c r="G70" s="21" t="n">
        <v>149</v>
      </c>
      <c r="H70" s="21" t="n">
        <v>149</v>
      </c>
      <c r="I70" s="21" t="n">
        <v>399</v>
      </c>
    </row>
    <row r="71">
      <c r="A71" s="45" t="inlineStr">
        <is>
          <t>2026-09</t>
        </is>
      </c>
      <c r="B71" s="22" t="n">
        <v>299</v>
      </c>
      <c r="C71" s="22" t="n">
        <v>399</v>
      </c>
      <c r="D71" s="22" t="n">
        <v>449</v>
      </c>
      <c r="E71" s="22" t="n">
        <v>349</v>
      </c>
      <c r="F71" s="22" t="n"/>
      <c r="G71" s="22" t="n">
        <v>149</v>
      </c>
      <c r="H71" s="22" t="n">
        <v>149</v>
      </c>
      <c r="I71" s="22" t="n">
        <v>399</v>
      </c>
    </row>
    <row r="72">
      <c r="A72" s="43" t="inlineStr">
        <is>
          <t>2026-10</t>
        </is>
      </c>
      <c r="B72" s="21" t="n">
        <v>299</v>
      </c>
      <c r="C72" s="21" t="n">
        <v>399</v>
      </c>
      <c r="D72" s="21" t="n">
        <v>449</v>
      </c>
      <c r="E72" s="21" t="n">
        <v>349</v>
      </c>
      <c r="F72" s="21" t="n"/>
      <c r="G72" s="21" t="n">
        <v>149</v>
      </c>
      <c r="H72" s="21" t="n">
        <v>149</v>
      </c>
      <c r="I72" s="21" t="n">
        <v>399</v>
      </c>
    </row>
  </sheetData>
  <mergeCells count="3">
    <mergeCell ref="A2:K2"/>
    <mergeCell ref="A1:K1"/>
    <mergeCell ref="A44:I44"/>
  </mergeCells>
  <pageMargins left="0.7" right="0.7" top="0.75" bottom="0.75" header="0.3" footer="0.3"/>
  <pageSetup orientation="portrait" horizontalDpi="0" verticalDpi="0"/>
  <drawing xmlns:r="http://schemas.openxmlformats.org/officeDocument/2006/relationships" r:id="rId1"/>
  <drawing r:id="rIdDrw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style="48" min="1" max="1"/>
    <col width="16" customWidth="1" style="48" min="2" max="2"/>
    <col width="20" customWidth="1" style="48" min="3" max="3"/>
    <col width="30" customWidth="1" style="48" min="4" max="4"/>
    <col width="13" customWidth="1" style="48" min="5" max="5"/>
    <col width="12" customWidth="1" style="48" min="6" max="6"/>
    <col width="11" customWidth="1" style="48" min="7" max="7"/>
    <col width="18" customWidth="1" style="48" min="8" max="8"/>
    <col width="13" customWidth="1" style="48" min="9" max="9"/>
    <col width="60" customWidth="1" style="48" min="10" max="10"/>
  </cols>
  <sheetData>
    <row r="1">
      <c r="A1" s="88" t="inlineStr">
        <is>
          <t>Chart Events: dated price series read by glp1_price_channels.py</t>
        </is>
      </c>
    </row>
    <row r="2">
      <c r="A2" s="89" t="inlineStr">
        <is>
          <t>Last observation</t>
        </is>
      </c>
      <c r="B2" t="inlineStr">
        <is>
          <t>2026-10-07</t>
        </is>
      </c>
      <c r="C2" t="inlineStr">
        <is>
          <t>Edit prices here and rerun the script. One row per price change; 'Announced' rows plot as dashed.</t>
        </is>
      </c>
    </row>
    <row r="4">
      <c r="A4" s="90" t="inlineStr">
        <is>
          <t>Series key</t>
        </is>
      </c>
      <c r="B4" s="90" t="inlineStr">
        <is>
          <t>Channel</t>
        </is>
      </c>
      <c r="C4" s="90" t="inlineStr">
        <is>
          <t>Product</t>
        </is>
      </c>
      <c r="D4" s="90" t="inlineStr">
        <is>
          <t>Dose / presentation</t>
        </is>
      </c>
      <c r="E4" s="90" t="inlineStr">
        <is>
          <t>Effective date</t>
        </is>
      </c>
      <c r="F4" s="90" t="inlineStr">
        <is>
          <t>Price (USD per month)</t>
        </is>
      </c>
      <c r="G4" s="90" t="inlineStr">
        <is>
          <t>Status</t>
        </is>
      </c>
      <c r="H4" s="90" t="inlineStr">
        <is>
          <t>Who pays</t>
        </is>
      </c>
      <c r="I4" s="90" t="inlineStr">
        <is>
          <t>Source</t>
        </is>
      </c>
      <c r="J4" s="90" t="inlineStr">
        <is>
          <t>Note</t>
        </is>
      </c>
    </row>
    <row r="5">
      <c r="A5" s="91" t="inlineStr">
        <is>
          <t>zep_pen_wac</t>
        </is>
      </c>
      <c r="B5" s="91" t="inlineStr">
        <is>
          <t>List price (WAC)</t>
        </is>
      </c>
      <c r="C5" s="91" t="inlineStr">
        <is>
          <t>Zepbound</t>
        </is>
      </c>
      <c r="D5" s="91" t="inlineStr">
        <is>
          <t>4 single-dose pens</t>
        </is>
      </c>
      <c r="E5" s="91" t="inlineStr">
        <is>
          <t>2023-11-08</t>
        </is>
      </c>
      <c r="F5" s="92" t="n">
        <v>1059.87</v>
      </c>
      <c r="G5" s="91" t="inlineStr">
        <is>
          <t>Observed</t>
        </is>
      </c>
      <c r="H5" s="91" t="inlineStr">
        <is>
          <t>Wholesaler</t>
        </is>
      </c>
      <c r="I5" s="91" t="inlineStr">
        <is>
          <t>S11</t>
        </is>
      </c>
      <c r="J5" s="91" t="inlineStr">
        <is>
          <t>Launch WAC</t>
        </is>
      </c>
    </row>
    <row r="6">
      <c r="A6" s="93" t="inlineStr">
        <is>
          <t>zep_pen_wac</t>
        </is>
      </c>
      <c r="B6" s="93" t="inlineStr">
        <is>
          <t>List price (WAC)</t>
        </is>
      </c>
      <c r="C6" s="93" t="inlineStr">
        <is>
          <t>Zepbound</t>
        </is>
      </c>
      <c r="D6" s="93" t="inlineStr">
        <is>
          <t>4 single-dose pens</t>
        </is>
      </c>
      <c r="E6" s="93" t="inlineStr">
        <is>
          <t>2026-07-21</t>
        </is>
      </c>
      <c r="F6" s="94" t="n">
        <v>1086.37</v>
      </c>
      <c r="G6" s="93" t="inlineStr">
        <is>
          <t>Observed</t>
        </is>
      </c>
      <c r="H6" s="93" t="inlineStr">
        <is>
          <t>Wholesaler</t>
        </is>
      </c>
      <c r="I6" s="93" t="inlineStr">
        <is>
          <t>S17</t>
        </is>
      </c>
      <c r="J6" s="93" t="inlineStr">
        <is>
          <t>Change date not observed</t>
        </is>
      </c>
    </row>
    <row r="7">
      <c r="A7" s="91" t="inlineStr">
        <is>
          <t>zep_kwik_wac</t>
        </is>
      </c>
      <c r="B7" s="91" t="inlineStr">
        <is>
          <t>List price (WAC)</t>
        </is>
      </c>
      <c r="C7" s="91" t="inlineStr">
        <is>
          <t>Zepbound</t>
        </is>
      </c>
      <c r="D7" s="91" t="inlineStr">
        <is>
          <t>KwikPen 2.5-7.5 mg</t>
        </is>
      </c>
      <c r="E7" s="91" t="inlineStr">
        <is>
          <t>2026-02-23</t>
        </is>
      </c>
      <c r="F7" s="92" t="n">
        <v>499</v>
      </c>
      <c r="G7" s="91" t="inlineStr">
        <is>
          <t>Observed</t>
        </is>
      </c>
      <c r="H7" s="91" t="inlineStr">
        <is>
          <t>Wholesaler</t>
        </is>
      </c>
      <c r="I7" s="91" t="inlineStr">
        <is>
          <t>S25</t>
        </is>
      </c>
      <c r="J7" s="91" t="inlineStr">
        <is>
          <t>Licensed capture Sep 2026; start assumed at device launch</t>
        </is>
      </c>
    </row>
    <row r="8">
      <c r="A8" s="93" t="inlineStr">
        <is>
          <t>zep_kwik_wac_hi</t>
        </is>
      </c>
      <c r="B8" s="93" t="inlineStr">
        <is>
          <t>List price (WAC)</t>
        </is>
      </c>
      <c r="C8" s="93" t="inlineStr">
        <is>
          <t>Zepbound</t>
        </is>
      </c>
      <c r="D8" s="93" t="inlineStr">
        <is>
          <t>KwikPen 10-15 mg</t>
        </is>
      </c>
      <c r="E8" s="93" t="inlineStr">
        <is>
          <t>2026-02-23</t>
        </is>
      </c>
      <c r="F8" s="94" t="n">
        <v>699</v>
      </c>
      <c r="G8" s="93" t="inlineStr">
        <is>
          <t>Observed</t>
        </is>
      </c>
      <c r="H8" s="93" t="inlineStr">
        <is>
          <t>Wholesaler</t>
        </is>
      </c>
      <c r="I8" s="93" t="inlineStr">
        <is>
          <t>S25</t>
        </is>
      </c>
      <c r="J8" s="93" t="inlineStr">
        <is>
          <t>Licensed capture Sep 2026; start assumed at device launch</t>
        </is>
      </c>
    </row>
    <row r="9">
      <c r="A9" s="91" t="inlineStr">
        <is>
          <t>zep_self_25</t>
        </is>
      </c>
      <c r="B9" s="91" t="inlineStr">
        <is>
          <t>Self-pay</t>
        </is>
      </c>
      <c r="C9" s="91" t="inlineStr">
        <is>
          <t>Zepbound</t>
        </is>
      </c>
      <c r="D9" s="91" t="inlineStr">
        <is>
          <t>2.5 mg</t>
        </is>
      </c>
      <c r="E9" s="91" t="inlineStr">
        <is>
          <t>2024-08-27</t>
        </is>
      </c>
      <c r="F9" s="92" t="n">
        <v>399</v>
      </c>
      <c r="G9" s="91" t="inlineStr">
        <is>
          <t>Observed</t>
        </is>
      </c>
      <c r="H9" s="91" t="inlineStr">
        <is>
          <t>Patient</t>
        </is>
      </c>
      <c r="I9" s="91" t="inlineStr">
        <is>
          <t>S12</t>
        </is>
      </c>
      <c r="J9" s="91" t="inlineStr">
        <is>
          <t>Vial launch</t>
        </is>
      </c>
    </row>
    <row r="10">
      <c r="A10" s="93" t="inlineStr">
        <is>
          <t>zep_self_25</t>
        </is>
      </c>
      <c r="B10" s="93" t="inlineStr">
        <is>
          <t>Self-pay</t>
        </is>
      </c>
      <c r="C10" s="93" t="inlineStr">
        <is>
          <t>Zepbound</t>
        </is>
      </c>
      <c r="D10" s="93" t="inlineStr">
        <is>
          <t>2.5 mg</t>
        </is>
      </c>
      <c r="E10" s="93" t="inlineStr">
        <is>
          <t>2025-02-25</t>
        </is>
      </c>
      <c r="F10" s="94" t="n">
        <v>349</v>
      </c>
      <c r="G10" s="93" t="inlineStr">
        <is>
          <t>Observed</t>
        </is>
      </c>
      <c r="H10" s="93" t="inlineStr">
        <is>
          <t>Patient</t>
        </is>
      </c>
      <c r="I10" s="93" t="inlineStr">
        <is>
          <t>S12</t>
        </is>
      </c>
      <c r="J10" s="93" t="inlineStr"/>
    </row>
    <row r="11">
      <c r="A11" s="91" t="inlineStr">
        <is>
          <t>zep_self_25</t>
        </is>
      </c>
      <c r="B11" s="91" t="inlineStr">
        <is>
          <t>Self-pay</t>
        </is>
      </c>
      <c r="C11" s="91" t="inlineStr">
        <is>
          <t>Zepbound</t>
        </is>
      </c>
      <c r="D11" s="91" t="inlineStr">
        <is>
          <t>2.5 mg</t>
        </is>
      </c>
      <c r="E11" s="91" t="inlineStr">
        <is>
          <t>2025-12-01</t>
        </is>
      </c>
      <c r="F11" s="92" t="n">
        <v>299</v>
      </c>
      <c r="G11" s="91" t="inlineStr">
        <is>
          <t>Observed</t>
        </is>
      </c>
      <c r="H11" s="91" t="inlineStr">
        <is>
          <t>Patient</t>
        </is>
      </c>
      <c r="I11" s="91" t="inlineStr">
        <is>
          <t>S13, S26</t>
        </is>
      </c>
      <c r="J11" s="91" t="inlineStr">
        <is>
          <t>Re-checked 2026-10-07 (S27)</t>
        </is>
      </c>
    </row>
    <row r="12">
      <c r="A12" s="93" t="inlineStr">
        <is>
          <t>zep_self_5</t>
        </is>
      </c>
      <c r="B12" s="93" t="inlineStr">
        <is>
          <t>Self-pay</t>
        </is>
      </c>
      <c r="C12" s="93" t="inlineStr">
        <is>
          <t>Zepbound</t>
        </is>
      </c>
      <c r="D12" s="93" t="inlineStr">
        <is>
          <t>5 mg</t>
        </is>
      </c>
      <c r="E12" s="93" t="inlineStr">
        <is>
          <t>2024-08-27</t>
        </is>
      </c>
      <c r="F12" s="94" t="n">
        <v>549</v>
      </c>
      <c r="G12" s="93" t="inlineStr">
        <is>
          <t>Observed</t>
        </is>
      </c>
      <c r="H12" s="93" t="inlineStr">
        <is>
          <t>Patient</t>
        </is>
      </c>
      <c r="I12" s="93" t="inlineStr">
        <is>
          <t>S12</t>
        </is>
      </c>
      <c r="J12" s="93" t="inlineStr">
        <is>
          <t>Vial launch</t>
        </is>
      </c>
    </row>
    <row r="13">
      <c r="A13" s="91" t="inlineStr">
        <is>
          <t>zep_self_5</t>
        </is>
      </c>
      <c r="B13" s="91" t="inlineStr">
        <is>
          <t>Self-pay</t>
        </is>
      </c>
      <c r="C13" s="91" t="inlineStr">
        <is>
          <t>Zepbound</t>
        </is>
      </c>
      <c r="D13" s="91" t="inlineStr">
        <is>
          <t>5 mg</t>
        </is>
      </c>
      <c r="E13" s="91" t="inlineStr">
        <is>
          <t>2025-02-25</t>
        </is>
      </c>
      <c r="F13" s="92" t="n">
        <v>499</v>
      </c>
      <c r="G13" s="91" t="inlineStr">
        <is>
          <t>Observed</t>
        </is>
      </c>
      <c r="H13" s="91" t="inlineStr">
        <is>
          <t>Patient</t>
        </is>
      </c>
      <c r="I13" s="91" t="inlineStr">
        <is>
          <t>S12</t>
        </is>
      </c>
      <c r="J13" s="91" t="inlineStr"/>
    </row>
    <row r="14">
      <c r="A14" s="93" t="inlineStr">
        <is>
          <t>zep_self_5</t>
        </is>
      </c>
      <c r="B14" s="93" t="inlineStr">
        <is>
          <t>Self-pay</t>
        </is>
      </c>
      <c r="C14" s="93" t="inlineStr">
        <is>
          <t>Zepbound</t>
        </is>
      </c>
      <c r="D14" s="93" t="inlineStr">
        <is>
          <t>5 mg</t>
        </is>
      </c>
      <c r="E14" s="93" t="inlineStr">
        <is>
          <t>2025-12-01</t>
        </is>
      </c>
      <c r="F14" s="94" t="n">
        <v>399</v>
      </c>
      <c r="G14" s="93" t="inlineStr">
        <is>
          <t>Observed</t>
        </is>
      </c>
      <c r="H14" s="93" t="inlineStr">
        <is>
          <t>Patient</t>
        </is>
      </c>
      <c r="I14" s="93" t="inlineStr">
        <is>
          <t>S13, S26</t>
        </is>
      </c>
      <c r="J14" s="93" t="inlineStr">
        <is>
          <t>Re-checked 2026-10-07 (S27)</t>
        </is>
      </c>
    </row>
    <row r="15">
      <c r="A15" s="91" t="inlineStr">
        <is>
          <t>zep_self_journey</t>
        </is>
      </c>
      <c r="B15" s="91" t="inlineStr">
        <is>
          <t>Self-pay</t>
        </is>
      </c>
      <c r="C15" s="91" t="inlineStr">
        <is>
          <t>Zepbound</t>
        </is>
      </c>
      <c r="D15" s="91" t="inlineStr">
        <is>
          <t>7.5-15 mg, refill within 45 days</t>
        </is>
      </c>
      <c r="E15" s="91" t="inlineStr">
        <is>
          <t>2025-02-25</t>
        </is>
      </c>
      <c r="F15" s="92" t="n">
        <v>499</v>
      </c>
      <c r="G15" s="91" t="inlineStr">
        <is>
          <t>Observed</t>
        </is>
      </c>
      <c r="H15" s="91" t="inlineStr">
        <is>
          <t>Patient</t>
        </is>
      </c>
      <c r="I15" s="91" t="inlineStr">
        <is>
          <t>S12</t>
        </is>
      </c>
      <c r="J15" s="91" t="inlineStr">
        <is>
          <t>Conditional price</t>
        </is>
      </c>
    </row>
    <row r="16">
      <c r="A16" s="93" t="inlineStr">
        <is>
          <t>zep_self_journey</t>
        </is>
      </c>
      <c r="B16" s="93" t="inlineStr">
        <is>
          <t>Self-pay</t>
        </is>
      </c>
      <c r="C16" s="93" t="inlineStr">
        <is>
          <t>Zepbound</t>
        </is>
      </c>
      <c r="D16" s="93" t="inlineStr">
        <is>
          <t>7.5-15 mg, refill within 45 days</t>
        </is>
      </c>
      <c r="E16" s="93" t="inlineStr">
        <is>
          <t>2025-12-01</t>
        </is>
      </c>
      <c r="F16" s="94" t="n">
        <v>449</v>
      </c>
      <c r="G16" s="93" t="inlineStr">
        <is>
          <t>Observed</t>
        </is>
      </c>
      <c r="H16" s="93" t="inlineStr">
        <is>
          <t>Patient</t>
        </is>
      </c>
      <c r="I16" s="93" t="inlineStr">
        <is>
          <t>S13, S26</t>
        </is>
      </c>
      <c r="J16" s="93" t="inlineStr">
        <is>
          <t>Re-checked 2026-10-07 (S27)</t>
        </is>
      </c>
    </row>
    <row r="17">
      <c r="A17" s="91" t="inlineStr">
        <is>
          <t>zep_reg_75</t>
        </is>
      </c>
      <c r="B17" s="91" t="inlineStr">
        <is>
          <t>Self-pay</t>
        </is>
      </c>
      <c r="C17" s="91" t="inlineStr">
        <is>
          <t>Zepbound</t>
        </is>
      </c>
      <c r="D17" s="91" t="inlineStr">
        <is>
          <t>7.5 mg regular</t>
        </is>
      </c>
      <c r="E17" s="91" t="inlineStr">
        <is>
          <t>2025-02-25</t>
        </is>
      </c>
      <c r="F17" s="92" t="n">
        <v>599</v>
      </c>
      <c r="G17" s="91" t="inlineStr">
        <is>
          <t>Observed</t>
        </is>
      </c>
      <c r="H17" s="91" t="inlineStr">
        <is>
          <t>Patient</t>
        </is>
      </c>
      <c r="I17" s="91" t="inlineStr">
        <is>
          <t>S12, S26</t>
        </is>
      </c>
      <c r="J17" s="91" t="inlineStr">
        <is>
          <t>Regular price without timely refill</t>
        </is>
      </c>
    </row>
    <row r="18">
      <c r="A18" s="93" t="inlineStr">
        <is>
          <t>zep_reg_75</t>
        </is>
      </c>
      <c r="B18" s="93" t="inlineStr">
        <is>
          <t>Self-pay</t>
        </is>
      </c>
      <c r="C18" s="93" t="inlineStr">
        <is>
          <t>Zepbound</t>
        </is>
      </c>
      <c r="D18" s="93" t="inlineStr">
        <is>
          <t>7.5 mg regular</t>
        </is>
      </c>
      <c r="E18" s="93" t="inlineStr">
        <is>
          <t>2026-02-23</t>
        </is>
      </c>
      <c r="F18" s="94" t="n">
        <v>499</v>
      </c>
      <c r="G18" s="93" t="inlineStr">
        <is>
          <t>Observed</t>
        </is>
      </c>
      <c r="H18" s="93" t="inlineStr">
        <is>
          <t>Patient</t>
        </is>
      </c>
      <c r="I18" s="93" t="inlineStr">
        <is>
          <t>S27</t>
        </is>
      </c>
      <c r="J18" s="93" t="inlineStr"/>
    </row>
    <row r="19">
      <c r="A19" s="91" t="inlineStr">
        <is>
          <t>zep_reg_10</t>
        </is>
      </c>
      <c r="B19" s="91" t="inlineStr">
        <is>
          <t>Self-pay</t>
        </is>
      </c>
      <c r="C19" s="91" t="inlineStr">
        <is>
          <t>Zepbound</t>
        </is>
      </c>
      <c r="D19" s="91" t="inlineStr">
        <is>
          <t>10 mg regular</t>
        </is>
      </c>
      <c r="E19" s="91" t="inlineStr">
        <is>
          <t>2025-02-25</t>
        </is>
      </c>
      <c r="F19" s="92" t="n">
        <v>699</v>
      </c>
      <c r="G19" s="91" t="inlineStr">
        <is>
          <t>Observed</t>
        </is>
      </c>
      <c r="H19" s="91" t="inlineStr">
        <is>
          <t>Patient</t>
        </is>
      </c>
      <c r="I19" s="91" t="inlineStr">
        <is>
          <t>S12, S26, S27</t>
        </is>
      </c>
      <c r="J19" s="91" t="inlineStr">
        <is>
          <t>Unchanged</t>
        </is>
      </c>
    </row>
    <row r="20">
      <c r="A20" s="93" t="inlineStr">
        <is>
          <t>zep_reg_15</t>
        </is>
      </c>
      <c r="B20" s="93" t="inlineStr">
        <is>
          <t>Self-pay</t>
        </is>
      </c>
      <c r="C20" s="93" t="inlineStr">
        <is>
          <t>Zepbound</t>
        </is>
      </c>
      <c r="D20" s="93" t="inlineStr">
        <is>
          <t>15 mg regular</t>
        </is>
      </c>
      <c r="E20" s="93" t="inlineStr">
        <is>
          <t>2025-12-01</t>
        </is>
      </c>
      <c r="F20" s="94" t="n">
        <v>1049</v>
      </c>
      <c r="G20" s="93" t="inlineStr">
        <is>
          <t>Observed</t>
        </is>
      </c>
      <c r="H20" s="93" t="inlineStr">
        <is>
          <t>Patient</t>
        </is>
      </c>
      <c r="I20" s="93" t="inlineStr">
        <is>
          <t>S26</t>
        </is>
      </c>
      <c r="J20" s="93" t="inlineStr">
        <is>
          <t>First documented regular price; vial launch-date price not documented</t>
        </is>
      </c>
    </row>
    <row r="21">
      <c r="A21" s="91" t="inlineStr">
        <is>
          <t>zep_reg_15</t>
        </is>
      </c>
      <c r="B21" s="91" t="inlineStr">
        <is>
          <t>Self-pay</t>
        </is>
      </c>
      <c r="C21" s="91" t="inlineStr">
        <is>
          <t>Zepbound</t>
        </is>
      </c>
      <c r="D21" s="91" t="inlineStr">
        <is>
          <t>15 mg regular</t>
        </is>
      </c>
      <c r="E21" s="91" t="inlineStr">
        <is>
          <t>2026-02-23</t>
        </is>
      </c>
      <c r="F21" s="92" t="n">
        <v>699</v>
      </c>
      <c r="G21" s="91" t="inlineStr">
        <is>
          <t>Observed</t>
        </is>
      </c>
      <c r="H21" s="91" t="inlineStr">
        <is>
          <t>Patient</t>
        </is>
      </c>
      <c r="I21" s="91" t="inlineStr">
        <is>
          <t>S27</t>
        </is>
      </c>
      <c r="J21" s="91" t="inlineStr">
        <is>
          <t>12.5 mg moved from $849 to $699 on the same date</t>
        </is>
      </c>
    </row>
    <row r="22">
      <c r="A22" s="93" t="inlineStr">
        <is>
          <t>zep_card</t>
        </is>
      </c>
      <c r="B22" s="93" t="inlineStr">
        <is>
          <t>Savings card</t>
        </is>
      </c>
      <c r="C22" s="93" t="inlineStr">
        <is>
          <t>Zepbound</t>
        </is>
      </c>
      <c r="D22" s="93" t="inlineStr">
        <is>
          <t>Commercial coverage only</t>
        </is>
      </c>
      <c r="E22" s="93" t="inlineStr">
        <is>
          <t>2023-11-08</t>
        </is>
      </c>
      <c r="F22" s="94" t="n">
        <v>25</v>
      </c>
      <c r="G22" s="93" t="inlineStr">
        <is>
          <t>Observed</t>
        </is>
      </c>
      <c r="H22" s="93" t="inlineStr">
        <is>
          <t>Patient</t>
        </is>
      </c>
      <c r="I22" s="93" t="inlineStr">
        <is>
          <t>S08, S11</t>
        </is>
      </c>
      <c r="J22" s="93" t="inlineStr">
        <is>
          <t>Minimum copay</t>
        </is>
      </c>
    </row>
    <row r="23">
      <c r="A23" s="91" t="inlineStr">
        <is>
          <t>gov_net</t>
        </is>
      </c>
      <c r="B23" s="91" t="inlineStr">
        <is>
          <t>Government</t>
        </is>
      </c>
      <c r="C23" s="91" t="inlineStr">
        <is>
          <t>All federal-deal GLP-1s</t>
        </is>
      </c>
      <c r="D23" s="91" t="inlineStr">
        <is>
          <t>Net price to manufacturer</t>
        </is>
      </c>
      <c r="E23" s="91" t="inlineStr">
        <is>
          <t>2025-11-06</t>
        </is>
      </c>
      <c r="F23" s="92" t="n">
        <v>245</v>
      </c>
      <c r="G23" s="91" t="inlineStr">
        <is>
          <t>Observed</t>
        </is>
      </c>
      <c r="H23" s="91" t="inlineStr">
        <is>
          <t>Medicare / Medicaid</t>
        </is>
      </c>
      <c r="I23" s="91" t="inlineStr">
        <is>
          <t>S17</t>
        </is>
      </c>
      <c r="J23" s="91" t="inlineStr">
        <is>
          <t>Agreement announced; applies to the Bridge from 2026-07-01</t>
        </is>
      </c>
    </row>
    <row r="24">
      <c r="A24" s="93" t="inlineStr">
        <is>
          <t>bridge_copay</t>
        </is>
      </c>
      <c r="B24" s="93" t="inlineStr">
        <is>
          <t>Government</t>
        </is>
      </c>
      <c r="C24" s="93" t="inlineStr">
        <is>
          <t>Bridge drugs</t>
        </is>
      </c>
      <c r="D24" s="93" t="inlineStr">
        <is>
          <t>Beneficiary copay</t>
        </is>
      </c>
      <c r="E24" s="93" t="inlineStr">
        <is>
          <t>2026-07-01</t>
        </is>
      </c>
      <c r="F24" s="94" t="n">
        <v>50</v>
      </c>
      <c r="G24" s="93" t="inlineStr">
        <is>
          <t>Observed</t>
        </is>
      </c>
      <c r="H24" s="93" t="inlineStr">
        <is>
          <t>Patient</t>
        </is>
      </c>
      <c r="I24" s="93" t="inlineStr">
        <is>
          <t>S20, S28</t>
        </is>
      </c>
      <c r="J24" s="93" t="inlineStr">
        <is>
          <t>Medicare pays the remaining $195</t>
        </is>
      </c>
    </row>
    <row r="25">
      <c r="A25" s="91" t="inlineStr">
        <is>
          <t>bridge_net</t>
        </is>
      </c>
      <c r="B25" s="91" t="inlineStr">
        <is>
          <t>Government</t>
        </is>
      </c>
      <c r="C25" s="91" t="inlineStr">
        <is>
          <t>Bridge drugs</t>
        </is>
      </c>
      <c r="D25" s="91" t="inlineStr">
        <is>
          <t>Net price to manufacturer</t>
        </is>
      </c>
      <c r="E25" s="91" t="inlineStr">
        <is>
          <t>2026-07-01</t>
        </is>
      </c>
      <c r="F25" s="92" t="n">
        <v>245</v>
      </c>
      <c r="G25" s="91" t="inlineStr">
        <is>
          <t>Observed</t>
        </is>
      </c>
      <c r="H25" s="91" t="inlineStr">
        <is>
          <t>Medicare + patient</t>
        </is>
      </c>
      <c r="I25" s="91" t="inlineStr">
        <is>
          <t>S29</t>
        </is>
      </c>
      <c r="J25" s="91" t="inlineStr">
        <is>
          <t>$50 copay + $195 Medicare-paid share</t>
        </is>
      </c>
    </row>
    <row r="26">
      <c r="A26" s="93" t="inlineStr">
        <is>
          <t>weg_wac</t>
        </is>
      </c>
      <c r="B26" s="93" t="inlineStr">
        <is>
          <t>List price (WAC)</t>
        </is>
      </c>
      <c r="C26" s="93" t="inlineStr">
        <is>
          <t>Wegovy</t>
        </is>
      </c>
      <c r="D26" s="93" t="inlineStr">
        <is>
          <t>Injection, HD and tablets</t>
        </is>
      </c>
      <c r="E26" s="93" t="inlineStr">
        <is>
          <t>2021-06-04</t>
        </is>
      </c>
      <c r="F26" s="94" t="n">
        <v>1349.02</v>
      </c>
      <c r="G26" s="93" t="inlineStr">
        <is>
          <t>Observed</t>
        </is>
      </c>
      <c r="H26" s="93" t="inlineStr">
        <is>
          <t>Wholesaler</t>
        </is>
      </c>
      <c r="I26" s="93" t="inlineStr">
        <is>
          <t>S02</t>
        </is>
      </c>
      <c r="J26" s="93" t="inlineStr">
        <is>
          <t>Re-checked Sep 2026</t>
        </is>
      </c>
    </row>
    <row r="27">
      <c r="A27" s="91" t="inlineStr">
        <is>
          <t>weg_wac</t>
        </is>
      </c>
      <c r="B27" s="91" t="inlineStr">
        <is>
          <t>List price (WAC)</t>
        </is>
      </c>
      <c r="C27" s="91" t="inlineStr">
        <is>
          <t>Wegovy</t>
        </is>
      </c>
      <c r="D27" s="91" t="inlineStr">
        <is>
          <t>Injection, HD and tablets</t>
        </is>
      </c>
      <c r="E27" s="91" t="inlineStr">
        <is>
          <t>2027-01-01</t>
        </is>
      </c>
      <c r="F27" s="92" t="n">
        <v>675</v>
      </c>
      <c r="G27" s="91" t="inlineStr">
        <is>
          <t>Announced</t>
        </is>
      </c>
      <c r="H27" s="91" t="inlineStr">
        <is>
          <t>Wholesaler</t>
        </is>
      </c>
      <c r="I27" s="91" t="inlineStr">
        <is>
          <t>S18</t>
        </is>
      </c>
      <c r="J27" s="91" t="inlineStr">
        <is>
          <t>Announced 2026-02-24</t>
        </is>
      </c>
    </row>
    <row r="28">
      <c r="A28" s="93" t="inlineStr">
        <is>
          <t>weg_self_pre</t>
        </is>
      </c>
      <c r="B28" s="93" t="inlineStr">
        <is>
          <t>Self-pay</t>
        </is>
      </c>
      <c r="C28" s="93" t="inlineStr">
        <is>
          <t>Wegovy</t>
        </is>
      </c>
      <c r="D28" s="93" t="inlineStr">
        <is>
          <t>Savings card for cash payers</t>
        </is>
      </c>
      <c r="E28" s="93" t="inlineStr">
        <is>
          <t>2025-03-04</t>
        </is>
      </c>
      <c r="F28" s="94" t="n">
        <v>650</v>
      </c>
      <c r="G28" s="93" t="inlineStr">
        <is>
          <t>Observed</t>
        </is>
      </c>
      <c r="H28" s="93" t="inlineStr">
        <is>
          <t>Patient</t>
        </is>
      </c>
      <c r="I28" s="93" t="inlineStr">
        <is>
          <t>S14</t>
        </is>
      </c>
      <c r="J28" s="93" t="inlineStr">
        <is>
          <t>Last day before NovoCare $499; start date not documented</t>
        </is>
      </c>
    </row>
    <row r="29">
      <c r="A29" s="91" t="inlineStr">
        <is>
          <t>weg_self</t>
        </is>
      </c>
      <c r="B29" s="91" t="inlineStr">
        <is>
          <t>Self-pay</t>
        </is>
      </c>
      <c r="C29" s="91" t="inlineStr">
        <is>
          <t>Wegovy</t>
        </is>
      </c>
      <c r="D29" s="91" t="inlineStr">
        <is>
          <t>Injection, all doses</t>
        </is>
      </c>
      <c r="E29" s="91" t="inlineStr">
        <is>
          <t>2025-03-05</t>
        </is>
      </c>
      <c r="F29" s="92" t="n">
        <v>499</v>
      </c>
      <c r="G29" s="91" t="inlineStr">
        <is>
          <t>Observed</t>
        </is>
      </c>
      <c r="H29" s="91" t="inlineStr">
        <is>
          <t>Patient</t>
        </is>
      </c>
      <c r="I29" s="91" t="inlineStr">
        <is>
          <t>S14</t>
        </is>
      </c>
      <c r="J29" s="91" t="inlineStr"/>
    </row>
    <row r="30">
      <c r="A30" s="93" t="inlineStr">
        <is>
          <t>weg_self</t>
        </is>
      </c>
      <c r="B30" s="93" t="inlineStr">
        <is>
          <t>Self-pay</t>
        </is>
      </c>
      <c r="C30" s="93" t="inlineStr">
        <is>
          <t>Wegovy</t>
        </is>
      </c>
      <c r="D30" s="93" t="inlineStr">
        <is>
          <t>Injection, all doses</t>
        </is>
      </c>
      <c r="E30" s="93" t="inlineStr">
        <is>
          <t>2025-11-17</t>
        </is>
      </c>
      <c r="F30" s="94" t="n">
        <v>349</v>
      </c>
      <c r="G30" s="93" t="inlineStr">
        <is>
          <t>Observed</t>
        </is>
      </c>
      <c r="H30" s="93" t="inlineStr">
        <is>
          <t>Patient</t>
        </is>
      </c>
      <c r="I30" s="93" t="inlineStr">
        <is>
          <t>S15</t>
        </is>
      </c>
      <c r="J30" s="93" t="inlineStr">
        <is>
          <t>Re-checked 2026-10-07 (S16)</t>
        </is>
      </c>
    </row>
    <row r="31">
      <c r="A31" s="91" t="inlineStr">
        <is>
          <t>weg_hd</t>
        </is>
      </c>
      <c r="B31" s="91" t="inlineStr">
        <is>
          <t>Self-pay</t>
        </is>
      </c>
      <c r="C31" s="91" t="inlineStr">
        <is>
          <t>Wegovy HD</t>
        </is>
      </c>
      <c r="D31" s="91" t="inlineStr">
        <is>
          <t>7.2 mg</t>
        </is>
      </c>
      <c r="E31" s="91" t="inlineStr">
        <is>
          <t>2026-04-07</t>
        </is>
      </c>
      <c r="F31" s="92" t="n">
        <v>399</v>
      </c>
      <c r="G31" s="91" t="inlineStr">
        <is>
          <t>Observed</t>
        </is>
      </c>
      <c r="H31" s="91" t="inlineStr">
        <is>
          <t>Patient</t>
        </is>
      </c>
      <c r="I31" s="91" t="inlineStr">
        <is>
          <t>S16</t>
        </is>
      </c>
      <c r="J31" s="91" t="inlineStr">
        <is>
          <t>Re-checked 2026-10-07</t>
        </is>
      </c>
    </row>
    <row r="32">
      <c r="A32" s="93" t="inlineStr">
        <is>
          <t>weg_oral_15</t>
        </is>
      </c>
      <c r="B32" s="93" t="inlineStr">
        <is>
          <t>Self-pay</t>
        </is>
      </c>
      <c r="C32" s="93" t="inlineStr">
        <is>
          <t>Wegovy tablets</t>
        </is>
      </c>
      <c r="D32" s="93" t="inlineStr">
        <is>
          <t>1.5 mg</t>
        </is>
      </c>
      <c r="E32" s="93" t="inlineStr">
        <is>
          <t>2026-01-05</t>
        </is>
      </c>
      <c r="F32" s="94" t="n">
        <v>149</v>
      </c>
      <c r="G32" s="93" t="inlineStr">
        <is>
          <t>Observed</t>
        </is>
      </c>
      <c r="H32" s="93" t="inlineStr">
        <is>
          <t>Patient</t>
        </is>
      </c>
      <c r="I32" s="93" t="inlineStr">
        <is>
          <t>S16, S30</t>
        </is>
      </c>
      <c r="J32" s="93" t="inlineStr"/>
    </row>
    <row r="33">
      <c r="A33" s="91" t="inlineStr">
        <is>
          <t>weg_oral_4</t>
        </is>
      </c>
      <c r="B33" s="91" t="inlineStr">
        <is>
          <t>Self-pay</t>
        </is>
      </c>
      <c r="C33" s="91" t="inlineStr">
        <is>
          <t>Wegovy tablets</t>
        </is>
      </c>
      <c r="D33" s="91" t="inlineStr">
        <is>
          <t>4 mg</t>
        </is>
      </c>
      <c r="E33" s="91" t="inlineStr">
        <is>
          <t>2026-01-05</t>
        </is>
      </c>
      <c r="F33" s="92" t="n">
        <v>149</v>
      </c>
      <c r="G33" s="91" t="inlineStr">
        <is>
          <t>Observed</t>
        </is>
      </c>
      <c r="H33" s="91" t="inlineStr">
        <is>
          <t>Patient</t>
        </is>
      </c>
      <c r="I33" s="91" t="inlineStr">
        <is>
          <t>S16</t>
        </is>
      </c>
      <c r="J33" s="91" t="inlineStr">
        <is>
          <t>Launch price</t>
        </is>
      </c>
    </row>
    <row r="34">
      <c r="A34" s="93" t="inlineStr">
        <is>
          <t>weg_oral_4</t>
        </is>
      </c>
      <c r="B34" s="93" t="inlineStr">
        <is>
          <t>Self-pay</t>
        </is>
      </c>
      <c r="C34" s="93" t="inlineStr">
        <is>
          <t>Wegovy tablets</t>
        </is>
      </c>
      <c r="D34" s="93" t="inlineStr">
        <is>
          <t>4 mg</t>
        </is>
      </c>
      <c r="E34" s="93" t="inlineStr">
        <is>
          <t>2026-09-01</t>
        </is>
      </c>
      <c r="F34" s="94" t="n">
        <v>199</v>
      </c>
      <c r="G34" s="93" t="inlineStr">
        <is>
          <t>Observed</t>
        </is>
      </c>
      <c r="H34" s="93" t="inlineStr">
        <is>
          <t>Patient</t>
        </is>
      </c>
      <c r="I34" s="93" t="inlineStr">
        <is>
          <t>S30</t>
        </is>
      </c>
      <c r="J34" s="93" t="inlineStr">
        <is>
          <t>Price increase</t>
        </is>
      </c>
    </row>
    <row r="35">
      <c r="A35" s="91" t="inlineStr">
        <is>
          <t>weg_oral_hi</t>
        </is>
      </c>
      <c r="B35" s="91" t="inlineStr">
        <is>
          <t>Self-pay</t>
        </is>
      </c>
      <c r="C35" s="91" t="inlineStr">
        <is>
          <t>Wegovy tablets</t>
        </is>
      </c>
      <c r="D35" s="91" t="inlineStr">
        <is>
          <t>9 and 25 mg</t>
        </is>
      </c>
      <c r="E35" s="91" t="inlineStr">
        <is>
          <t>2026-01-05</t>
        </is>
      </c>
      <c r="F35" s="92" t="n">
        <v>299</v>
      </c>
      <c r="G35" s="91" t="inlineStr">
        <is>
          <t>Observed</t>
        </is>
      </c>
      <c r="H35" s="91" t="inlineStr">
        <is>
          <t>Patient</t>
        </is>
      </c>
      <c r="I35" s="91" t="inlineStr">
        <is>
          <t>S16, S30</t>
        </is>
      </c>
      <c r="J35" s="91" t="inlineStr"/>
    </row>
    <row r="36">
      <c r="A36" s="93" t="inlineStr">
        <is>
          <t>weg_card</t>
        </is>
      </c>
      <c r="B36" s="93" t="inlineStr">
        <is>
          <t>Savings card</t>
        </is>
      </c>
      <c r="C36" s="93" t="inlineStr">
        <is>
          <t>Wegovy</t>
        </is>
      </c>
      <c r="D36" s="93" t="inlineStr">
        <is>
          <t>Commercial coverage only</t>
        </is>
      </c>
      <c r="E36" s="93" t="inlineStr">
        <is>
          <t>2025-03-05</t>
        </is>
      </c>
      <c r="F36" s="94" t="n">
        <v>25</v>
      </c>
      <c r="G36" s="93" t="inlineStr">
        <is>
          <t>Observed</t>
        </is>
      </c>
      <c r="H36" s="93" t="inlineStr">
        <is>
          <t>Patient</t>
        </is>
      </c>
      <c r="I36" s="93" t="inlineStr">
        <is>
          <t>S14</t>
        </is>
      </c>
      <c r="J36" s="93" t="inlineStr">
        <is>
          <t>Minimum copay</t>
        </is>
      </c>
    </row>
    <row r="37">
      <c r="A37" s="91" t="inlineStr">
        <is>
          <t>weg_mfp</t>
        </is>
      </c>
      <c r="B37" s="91" t="inlineStr">
        <is>
          <t>Government</t>
        </is>
      </c>
      <c r="C37" s="91" t="inlineStr">
        <is>
          <t>Wegovy</t>
        </is>
      </c>
      <c r="D37" s="91" t="inlineStr">
        <is>
          <t>IRA Maximum Fair Price, 2.4 mg pens</t>
        </is>
      </c>
      <c r="E37" s="91" t="inlineStr">
        <is>
          <t>2027-01-01</t>
        </is>
      </c>
      <c r="F37" s="92" t="n">
        <v>385</v>
      </c>
      <c r="G37" s="91" t="inlineStr">
        <is>
          <t>Announced</t>
        </is>
      </c>
      <c r="H37" s="91" t="inlineStr">
        <is>
          <t>Medicare</t>
        </is>
      </c>
      <c r="I37" s="91" t="inlineStr">
        <is>
          <t>S21</t>
        </is>
      </c>
      <c r="J37" s="91" t="inlineStr">
        <is>
          <t>$385.63; CMS expects the $245 federal price to supersede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00A6C8"/>
    <outlinePr summaryBelow="1" summaryRight="1"/>
    <pageSetUpPr/>
  </sheetPr>
  <dimension ref="A1:F17"/>
  <sheetViews>
    <sheetView showGridLines="0" topLeftCell="B1" zoomScale="125" workbookViewId="0">
      <pane ySplit="4" topLeftCell="A5" activePane="bottomLeft" state="frozen"/>
      <selection pane="bottomLeft" activeCell="A4" sqref="A4:F4"/>
    </sheetView>
  </sheetViews>
  <sheetFormatPr baseColWidth="10" defaultColWidth="8.83203125" defaultRowHeight="14"/>
  <cols>
    <col width="26" customWidth="1" style="48" min="1" max="1"/>
    <col width="66" customWidth="1" style="48" min="2" max="2"/>
    <col width="24" customWidth="1" style="48" min="3" max="3"/>
    <col width="16" customWidth="1" style="48" min="4" max="4"/>
    <col width="18" customWidth="1" style="48" min="5" max="5"/>
    <col width="48" customWidth="1" style="48" min="6" max="6"/>
  </cols>
  <sheetData>
    <row r="1" ht="30" customHeight="1" s="48">
      <c r="A1" s="37" t="inlineStr">
        <is>
          <t>Price Concepts</t>
        </is>
      </c>
    </row>
    <row r="2" ht="34" customHeight="1" s="48">
      <c r="A2" s="38" t="inlineStr">
        <is>
          <t>A translation layer for statements, terminals, manufacturer pages and patient-facing claims. Do not compare unlike concepts without qualification.</t>
        </is>
      </c>
    </row>
    <row r="4" ht="30" customHeight="1" s="48">
      <c r="A4" s="74" t="inlineStr">
        <is>
          <t>Concept</t>
        </is>
      </c>
      <c r="B4" s="74" t="inlineStr">
        <is>
          <t>Definition</t>
        </is>
      </c>
      <c r="C4" s="74" t="inlineStr">
        <is>
          <t>Set/reported by</t>
        </is>
      </c>
      <c r="D4" s="74" t="inlineStr">
        <is>
          <t>Time-varying?</t>
        </is>
      </c>
      <c r="E4" s="74" t="inlineStr">
        <is>
          <t>Patient OOP?</t>
        </is>
      </c>
      <c r="F4" s="74" t="inlineStr">
        <is>
          <t>Data caution</t>
        </is>
      </c>
    </row>
    <row r="5" ht="34" customHeight="1" s="48">
      <c r="A5" s="43" t="inlineStr">
        <is>
          <t>WAC / list price</t>
        </is>
      </c>
      <c r="B5" s="43" t="inlineStr">
        <is>
          <t>Manufacturer price to wholesaler/direct purchaser before rebates or discounts.</t>
        </is>
      </c>
      <c r="C5" s="43" t="inlineStr">
        <is>
          <t>Manufacturer/FDB</t>
        </is>
      </c>
      <c r="D5" s="43" t="inlineStr">
        <is>
          <t>Yes</t>
        </is>
      </c>
      <c r="E5" s="43" t="inlineStr">
        <is>
          <t>Usually no</t>
        </is>
      </c>
      <c r="F5" s="43" t="inlineStr">
        <is>
          <t>Public manufacturer page or licensed database</t>
        </is>
      </c>
    </row>
    <row r="6">
      <c r="A6" s="45" t="inlineStr">
        <is>
          <t>AWP</t>
        </is>
      </c>
      <c r="B6" s="45" t="inlineStr">
        <is>
          <t>Published benchmark often above acquisition cost; not an average transaction price.</t>
        </is>
      </c>
      <c r="C6" s="45" t="inlineStr">
        <is>
          <t>Commercial compendia</t>
        </is>
      </c>
      <c r="D6" s="45" t="inlineStr">
        <is>
          <t>Sometimes</t>
        </is>
      </c>
      <c r="E6" s="45" t="inlineStr">
        <is>
          <t>No</t>
        </is>
      </c>
      <c r="F6" s="45" t="inlineStr">
        <is>
          <t>Usually licensed</t>
        </is>
      </c>
    </row>
    <row r="7">
      <c r="A7" s="43" t="inlineStr">
        <is>
          <t>WAC Unit</t>
        </is>
      </c>
      <c r="B7" s="43" t="inlineStr">
        <is>
          <t>WAC normalized to the database billing unit, e.g., $/mL.</t>
        </is>
      </c>
      <c r="C7" s="43" t="inlineStr">
        <is>
          <t>FDB/Bloomberg</t>
        </is>
      </c>
      <c r="D7" s="43" t="inlineStr">
        <is>
          <t>Yes</t>
        </is>
      </c>
      <c r="E7" s="43" t="inlineStr">
        <is>
          <t>No</t>
        </is>
      </c>
      <c r="F7" s="43" t="inlineStr">
        <is>
          <t>Licensed; multiply by package quantity carefully</t>
        </is>
      </c>
    </row>
    <row r="8">
      <c r="A8" s="45" t="inlineStr">
        <is>
          <t>NADAC</t>
        </is>
      </c>
      <c r="B8" s="45" t="inlineStr">
        <is>
          <t>CMS survey-based average pharmacy acquisition-cost benchmark.</t>
        </is>
      </c>
      <c r="C8" s="45" t="inlineStr">
        <is>
          <t>CMS</t>
        </is>
      </c>
      <c r="D8" s="45" t="inlineStr">
        <is>
          <t>Yes</t>
        </is>
      </c>
      <c r="E8" s="45" t="inlineStr">
        <is>
          <t>No</t>
        </is>
      </c>
      <c r="F8" s="45" t="inlineStr">
        <is>
          <t>Public dataset; pharmacy acquisition benchmark</t>
        </is>
      </c>
    </row>
    <row r="9" ht="26" customHeight="1" s="48">
      <c r="A9" s="43" t="inlineStr">
        <is>
          <t>Direct-to-patient / self-pay</t>
        </is>
      </c>
      <c r="B9" s="43" t="inlineStr">
        <is>
          <t>Manufacturer cash price in a named channel, sometimes dose/device specific.</t>
        </is>
      </c>
      <c r="C9" s="43" t="inlineStr">
        <is>
          <t>Manufacturer</t>
        </is>
      </c>
      <c r="D9" s="43" t="inlineStr">
        <is>
          <t>Yes</t>
        </is>
      </c>
      <c r="E9" s="43" t="inlineStr">
        <is>
          <t>Yes, for eligible cash payer</t>
        </is>
      </c>
      <c r="F9" s="43" t="inlineStr">
        <is>
          <t>Public terms; may change</t>
        </is>
      </c>
    </row>
    <row r="10">
      <c r="A10" s="45" t="inlineStr">
        <is>
          <t>Savings-card minimum</t>
        </is>
      </c>
      <c r="B10" s="45" t="inlineStr">
        <is>
          <t>Advertised minimum copay after manufacturer assistance.</t>
        </is>
      </c>
      <c r="C10" s="45" t="inlineStr">
        <is>
          <t>Manufacturer</t>
        </is>
      </c>
      <c r="D10" s="45" t="inlineStr">
        <is>
          <t>Yes</t>
        </is>
      </c>
      <c r="E10" s="45" t="inlineStr">
        <is>
          <t>Yes, only if eligible</t>
        </is>
      </c>
      <c r="F10" s="45" t="inlineStr">
        <is>
          <t>Government beneficiaries often excluded</t>
        </is>
      </c>
    </row>
    <row r="11">
      <c r="A11" s="43" t="inlineStr">
        <is>
          <t>Retail cash price</t>
        </is>
      </c>
      <c r="B11" s="43" t="inlineStr">
        <is>
          <t>Pharmacy counter price without insurance or manufacturer program.</t>
        </is>
      </c>
      <c r="C11" s="43" t="inlineStr">
        <is>
          <t>Pharmacy / price aggregator</t>
        </is>
      </c>
      <c r="D11" s="43" t="inlineStr">
        <is>
          <t>Yes</t>
        </is>
      </c>
      <c r="E11" s="43" t="inlineStr">
        <is>
          <t>Yes</t>
        </is>
      </c>
      <c r="F11" s="43" t="inlineStr">
        <is>
          <t>Varies by pharmacy, geography and date</t>
        </is>
      </c>
    </row>
    <row r="12" ht="26" customHeight="1" s="48">
      <c r="A12" s="45" t="inlineStr">
        <is>
          <t>Plan copay / coinsurance</t>
        </is>
      </c>
      <c r="B12" s="45" t="inlineStr">
        <is>
          <t>Patient cost-sharing set by benefit design.</t>
        </is>
      </c>
      <c r="C12" s="45" t="inlineStr">
        <is>
          <t>Insurer/PBM</t>
        </is>
      </c>
      <c r="D12" s="45" t="inlineStr">
        <is>
          <t>No single national value</t>
        </is>
      </c>
      <c r="E12" s="45" t="inlineStr">
        <is>
          <t>Yes</t>
        </is>
      </c>
      <c r="F12" s="45" t="inlineStr">
        <is>
          <t>Plan-specific</t>
        </is>
      </c>
    </row>
    <row r="13" ht="26" customHeight="1" s="48">
      <c r="A13" s="43" t="inlineStr">
        <is>
          <t>Net / realized price</t>
        </is>
      </c>
      <c r="B13" s="43" t="inlineStr">
        <is>
          <t>Manufacturer revenue after relevant rebates, discounts and adjustments.</t>
        </is>
      </c>
      <c r="C13" s="43" t="inlineStr">
        <is>
          <t>Manufacturer</t>
        </is>
      </c>
      <c r="D13" s="43" t="inlineStr">
        <is>
          <t>Rarely exact by product</t>
        </is>
      </c>
      <c r="E13" s="43" t="inlineStr">
        <is>
          <t>No</t>
        </is>
      </c>
      <c r="F13" s="43" t="inlineStr">
        <is>
          <t>Usually disclosed as trend/percentage</t>
        </is>
      </c>
    </row>
    <row r="14">
      <c r="A14" s="45" t="inlineStr">
        <is>
          <t>Gross-to-net</t>
        </is>
      </c>
      <c r="B14" s="45" t="inlineStr">
        <is>
          <t>Difference between gross/list-based sales and realized net revenue.</t>
        </is>
      </c>
      <c r="C14" s="45" t="inlineStr">
        <is>
          <t>Manufacturer / analyst</t>
        </is>
      </c>
      <c r="D14" s="45" t="inlineStr">
        <is>
          <t>Sometimes</t>
        </is>
      </c>
      <c r="E14" s="45" t="inlineStr">
        <is>
          <t>No</t>
        </is>
      </c>
      <c r="F14" s="45" t="inlineStr">
        <is>
          <t>Estimate unless company discloses</t>
        </is>
      </c>
    </row>
    <row r="15">
      <c r="A15" s="43" t="inlineStr">
        <is>
          <t>MFP</t>
        </is>
      </c>
      <c r="B15" s="43" t="inlineStr">
        <is>
          <t>Medicare Maximum Fair Price under the IRA.</t>
        </is>
      </c>
      <c r="C15" s="43" t="inlineStr">
        <is>
          <t>CMS</t>
        </is>
      </c>
      <c r="D15" s="43" t="inlineStr">
        <is>
          <t>Yes</t>
        </is>
      </c>
      <c r="E15" s="43" t="inlineStr">
        <is>
          <t>Not automatically</t>
        </is>
      </c>
      <c r="F15" s="43" t="inlineStr">
        <is>
          <t>Government acquisition/reimbursement concept</t>
        </is>
      </c>
    </row>
    <row r="16">
      <c r="A16" s="45" t="inlineStr">
        <is>
          <t>Government program copay</t>
        </is>
      </c>
      <c r="B16" s="45" t="inlineStr">
        <is>
          <t>Beneficiary copay in a defined program such as the Medicare GLP-1 Bridge ($50). Medicare pays the rest of the program's net price ($195 of $245), so the copay is a subsidized patient payment, not a market price.</t>
        </is>
      </c>
      <c r="C16" s="45" t="inlineStr">
        <is>
          <t>CMS</t>
        </is>
      </c>
      <c r="D16" s="45" t="inlineStr">
        <is>
          <t>Yes</t>
        </is>
      </c>
      <c r="E16" s="45" t="inlineStr">
        <is>
          <t>Yes, if eligible</t>
        </is>
      </c>
      <c r="F16" s="45" t="inlineStr">
        <is>
          <t>Eligibility and indication restrictions</t>
        </is>
      </c>
    </row>
    <row r="17">
      <c r="A17" s="43" t="inlineStr">
        <is>
          <t>Aggregate Int. WAC $</t>
        </is>
      </c>
      <c r="B17" s="43" t="inlineStr">
        <is>
          <t>Estimated WAC-dollar activity in an institutional channel; an aggregate sales measure.</t>
        </is>
      </c>
      <c r="C17" s="43" t="inlineStr">
        <is>
          <t>Symphony/Bloomberg</t>
        </is>
      </c>
      <c r="D17" s="43" t="inlineStr">
        <is>
          <t>Yes</t>
        </is>
      </c>
      <c r="E17" s="43" t="inlineStr">
        <is>
          <t>No</t>
        </is>
      </c>
      <c r="F17" s="43" t="inlineStr">
        <is>
          <t>Not a per-fill drug price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00A6C8"/>
    <outlinePr summaryBelow="1" summaryRight="1"/>
    <pageSetUpPr/>
  </sheetPr>
  <dimension ref="A1:I22"/>
  <sheetViews>
    <sheetView showGridLines="0" topLeftCell="C1" zoomScale="75" workbookViewId="0">
      <pane ySplit="4" topLeftCell="A5" activePane="bottomLeft" state="frozen"/>
      <selection pane="bottomLeft" activeCell="A4" sqref="A4:I4"/>
    </sheetView>
  </sheetViews>
  <sheetFormatPr baseColWidth="10" defaultColWidth="8.83203125" defaultRowHeight="14"/>
  <cols>
    <col width="20" customWidth="1" style="48" min="1" max="1"/>
    <col width="22" customWidth="1" style="48" min="2" max="2"/>
    <col width="18" customWidth="1" style="48" min="3" max="3"/>
    <col width="30" customWidth="1" style="48" min="4" max="4"/>
    <col width="24" customWidth="1" style="48" min="5" max="5"/>
    <col width="19" customWidth="1" style="48" min="6" max="6"/>
    <col width="24" customWidth="1" style="48" min="7" max="7"/>
    <col width="23" customWidth="1" style="48" min="8" max="8"/>
    <col width="38" customWidth="1" style="48" min="9" max="9"/>
  </cols>
  <sheetData>
    <row r="1" ht="30" customHeight="1" s="48">
      <c r="A1" s="37" t="inlineStr">
        <is>
          <t>Product Universe</t>
        </is>
      </c>
    </row>
    <row r="2" ht="34" customHeight="1" s="48">
      <c r="A2" s="38" t="inlineStr">
        <is>
          <t>U.S. branded GLP-1 and closely competing dual GIP/GLP-1 products. Approval/launch dates are reference dates; status should be reconfirmed for legacy brands.</t>
        </is>
      </c>
    </row>
    <row r="4" ht="30" customHeight="1" s="48">
      <c r="A4" s="74" t="inlineStr">
        <is>
          <t>Brand</t>
        </is>
      </c>
      <c r="B4" s="74" t="inlineStr">
        <is>
          <t>Molecule</t>
        </is>
      </c>
      <c r="C4" s="74" t="inlineStr">
        <is>
          <t>Manufacturer</t>
        </is>
      </c>
      <c r="D4" s="74" t="inlineStr">
        <is>
          <t>Primary U.S. indication</t>
        </is>
      </c>
      <c r="E4" s="74" t="inlineStr">
        <is>
          <t>Form</t>
        </is>
      </c>
      <c r="F4" s="74" t="inlineStr">
        <is>
          <t>First U.S. approval / launch</t>
        </is>
      </c>
      <c r="G4" s="74" t="inlineStr">
        <is>
          <t>Status as of 2026-09-10</t>
        </is>
      </c>
      <c r="H4" s="74" t="inlineStr">
        <is>
          <t>Class</t>
        </is>
      </c>
      <c r="I4" s="74" t="inlineStr">
        <is>
          <t>Price-data note</t>
        </is>
      </c>
    </row>
    <row r="5">
      <c r="A5" s="43" t="inlineStr">
        <is>
          <t>Byetta</t>
        </is>
      </c>
      <c r="B5" s="43" t="inlineStr">
        <is>
          <t>Exenatide</t>
        </is>
      </c>
      <c r="C5" s="43" t="inlineStr">
        <is>
          <t>AstraZeneca</t>
        </is>
      </c>
      <c r="D5" s="43" t="inlineStr">
        <is>
          <t>Type 2 diabetes</t>
        </is>
      </c>
      <c r="E5" s="43" t="inlineStr">
        <is>
          <t>Injection</t>
        </is>
      </c>
      <c r="F5" s="28" t="inlineStr">
        <is>
          <t>2005-04-28</t>
        </is>
      </c>
      <c r="G5" s="43" t="inlineStr">
        <is>
          <t>Legacy / availability varies</t>
        </is>
      </c>
      <c r="H5" s="43" t="inlineStr">
        <is>
          <t>GLP-1 RA</t>
        </is>
      </c>
      <c r="I5" s="43" t="inlineStr">
        <is>
          <t>No public longitudinal WAC reconstructed</t>
        </is>
      </c>
    </row>
    <row r="6">
      <c r="A6" s="45" t="inlineStr">
        <is>
          <t>Victoza</t>
        </is>
      </c>
      <c r="B6" s="45" t="inlineStr">
        <is>
          <t>Liraglutide</t>
        </is>
      </c>
      <c r="C6" s="45" t="inlineStr">
        <is>
          <t>Novo Nordisk</t>
        </is>
      </c>
      <c r="D6" s="45" t="inlineStr">
        <is>
          <t>Type 2 diabetes</t>
        </is>
      </c>
      <c r="E6" s="45" t="inlineStr">
        <is>
          <t>Injection</t>
        </is>
      </c>
      <c r="F6" s="29" t="inlineStr">
        <is>
          <t>2010-01-25</t>
        </is>
      </c>
      <c r="G6" s="45" t="inlineStr">
        <is>
          <t>Active/legacy brand</t>
        </is>
      </c>
      <c r="H6" s="45" t="inlineStr">
        <is>
          <t>GLP-1 RA</t>
        </is>
      </c>
      <c r="I6" s="45" t="inlineStr">
        <is>
          <t>Current public WAC available</t>
        </is>
      </c>
    </row>
    <row r="7">
      <c r="A7" s="43" t="inlineStr">
        <is>
          <t>Bydureon / BCise</t>
        </is>
      </c>
      <c r="B7" s="43" t="inlineStr">
        <is>
          <t>Exenatide ER</t>
        </is>
      </c>
      <c r="C7" s="43" t="inlineStr">
        <is>
          <t>AstraZeneca</t>
        </is>
      </c>
      <c r="D7" s="43" t="inlineStr">
        <is>
          <t>Type 2 diabetes</t>
        </is>
      </c>
      <c r="E7" s="43" t="inlineStr">
        <is>
          <t>Weekly injection</t>
        </is>
      </c>
      <c r="F7" s="28" t="inlineStr">
        <is>
          <t>2012-01-27</t>
        </is>
      </c>
      <c r="G7" s="43" t="inlineStr">
        <is>
          <t>Discontinued/legacy</t>
        </is>
      </c>
      <c r="H7" s="43" t="inlineStr">
        <is>
          <t>GLP-1 RA</t>
        </is>
      </c>
      <c r="I7" s="43" t="inlineStr">
        <is>
          <t>No public longitudinal WAC reconstructed</t>
        </is>
      </c>
    </row>
    <row r="8">
      <c r="A8" s="45" t="inlineStr">
        <is>
          <t>Tanzeum</t>
        </is>
      </c>
      <c r="B8" s="45" t="inlineStr">
        <is>
          <t>Albiglutide</t>
        </is>
      </c>
      <c r="C8" s="45" t="inlineStr">
        <is>
          <t>GSK</t>
        </is>
      </c>
      <c r="D8" s="45" t="inlineStr">
        <is>
          <t>Type 2 diabetes</t>
        </is>
      </c>
      <c r="E8" s="45" t="inlineStr">
        <is>
          <t>Weekly injection</t>
        </is>
      </c>
      <c r="F8" s="29" t="inlineStr">
        <is>
          <t>2014-04-15</t>
        </is>
      </c>
      <c r="G8" s="45" t="inlineStr">
        <is>
          <t>Discontinued</t>
        </is>
      </c>
      <c r="H8" s="45" t="inlineStr">
        <is>
          <t>GLP-1 RA</t>
        </is>
      </c>
      <c r="I8" s="45" t="inlineStr">
        <is>
          <t>Included for market completeness</t>
        </is>
      </c>
    </row>
    <row r="9">
      <c r="A9" s="43" t="inlineStr">
        <is>
          <t>Trulicity</t>
        </is>
      </c>
      <c r="B9" s="43" t="inlineStr">
        <is>
          <t>Dulaglutide</t>
        </is>
      </c>
      <c r="C9" s="43" t="inlineStr">
        <is>
          <t>Eli Lilly</t>
        </is>
      </c>
      <c r="D9" s="43" t="inlineStr">
        <is>
          <t>Type 2 diabetes</t>
        </is>
      </c>
      <c r="E9" s="43" t="inlineStr">
        <is>
          <t>Weekly injection</t>
        </is>
      </c>
      <c r="F9" s="28" t="inlineStr">
        <is>
          <t>2014-09-18</t>
        </is>
      </c>
      <c r="G9" s="43" t="inlineStr">
        <is>
          <t>Active</t>
        </is>
      </c>
      <c r="H9" s="43" t="inlineStr">
        <is>
          <t>GLP-1 RA</t>
        </is>
      </c>
      <c r="I9" s="43" t="inlineStr">
        <is>
          <t>Current public WAC available</t>
        </is>
      </c>
    </row>
    <row r="10">
      <c r="A10" s="45" t="inlineStr">
        <is>
          <t>Saxenda</t>
        </is>
      </c>
      <c r="B10" s="45" t="inlineStr">
        <is>
          <t>Liraglutide</t>
        </is>
      </c>
      <c r="C10" s="45" t="inlineStr">
        <is>
          <t>Novo Nordisk</t>
        </is>
      </c>
      <c r="D10" s="45" t="inlineStr">
        <is>
          <t>Chronic weight management</t>
        </is>
      </c>
      <c r="E10" s="45" t="inlineStr">
        <is>
          <t>Daily injection</t>
        </is>
      </c>
      <c r="F10" s="29" t="inlineStr">
        <is>
          <t>2014-12-23</t>
        </is>
      </c>
      <c r="G10" s="45" t="inlineStr">
        <is>
          <t>Active/legacy brand</t>
        </is>
      </c>
      <c r="H10" s="45" t="inlineStr">
        <is>
          <t>GLP-1 RA</t>
        </is>
      </c>
      <c r="I10" s="45" t="inlineStr">
        <is>
          <t>Current public WAC and savings offer</t>
        </is>
      </c>
    </row>
    <row r="11">
      <c r="A11" s="43" t="inlineStr">
        <is>
          <t>Adlyxin</t>
        </is>
      </c>
      <c r="B11" s="43" t="inlineStr">
        <is>
          <t>Lixisenatide</t>
        </is>
      </c>
      <c r="C11" s="43" t="inlineStr">
        <is>
          <t>Sanofi</t>
        </is>
      </c>
      <c r="D11" s="43" t="inlineStr">
        <is>
          <t>Type 2 diabetes</t>
        </is>
      </c>
      <c r="E11" s="43" t="inlineStr">
        <is>
          <t>Daily injection</t>
        </is>
      </c>
      <c r="F11" s="28" t="inlineStr">
        <is>
          <t>2016-07-28</t>
        </is>
      </c>
      <c r="G11" s="43" t="inlineStr">
        <is>
          <t>Discontinued/legacy</t>
        </is>
      </c>
      <c r="H11" s="43" t="inlineStr">
        <is>
          <t>GLP-1 RA</t>
        </is>
      </c>
      <c r="I11" s="43" t="inlineStr">
        <is>
          <t>Included for market completeness</t>
        </is>
      </c>
    </row>
    <row r="12">
      <c r="A12" s="45" t="inlineStr">
        <is>
          <t>Soliqua 100/33</t>
        </is>
      </c>
      <c r="B12" s="45" t="inlineStr">
        <is>
          <t>Insulin glargine/lixisenatide</t>
        </is>
      </c>
      <c r="C12" s="45" t="inlineStr">
        <is>
          <t>Sanofi</t>
        </is>
      </c>
      <c r="D12" s="45" t="inlineStr">
        <is>
          <t>Type 2 diabetes</t>
        </is>
      </c>
      <c r="E12" s="45" t="inlineStr">
        <is>
          <t>Daily injection</t>
        </is>
      </c>
      <c r="F12" s="29" t="inlineStr">
        <is>
          <t>2016-11-21</t>
        </is>
      </c>
      <c r="G12" s="45" t="inlineStr">
        <is>
          <t>Active/legacy</t>
        </is>
      </c>
      <c r="H12" s="45" t="inlineStr">
        <is>
          <t>Fixed-ratio insulin + GLP-1</t>
        </is>
      </c>
      <c r="I12" s="45" t="inlineStr">
        <is>
          <t>Combination product</t>
        </is>
      </c>
    </row>
    <row r="13">
      <c r="A13" s="43" t="inlineStr">
        <is>
          <t>Xultophy 100/3.6</t>
        </is>
      </c>
      <c r="B13" s="43" t="inlineStr">
        <is>
          <t>Insulin degludec/liraglutide</t>
        </is>
      </c>
      <c r="C13" s="43" t="inlineStr">
        <is>
          <t>Novo Nordisk</t>
        </is>
      </c>
      <c r="D13" s="43" t="inlineStr">
        <is>
          <t>Type 2 diabetes</t>
        </is>
      </c>
      <c r="E13" s="43" t="inlineStr">
        <is>
          <t>Daily injection</t>
        </is>
      </c>
      <c r="F13" s="28" t="inlineStr">
        <is>
          <t>2016-11-21</t>
        </is>
      </c>
      <c r="G13" s="43" t="inlineStr">
        <is>
          <t>Active/legacy</t>
        </is>
      </c>
      <c r="H13" s="43" t="inlineStr">
        <is>
          <t>Fixed-ratio insulin + GLP-1</t>
        </is>
      </c>
      <c r="I13" s="43" t="inlineStr">
        <is>
          <t>Combination product</t>
        </is>
      </c>
    </row>
    <row r="14">
      <c r="A14" s="45" t="inlineStr">
        <is>
          <t>Ozempic</t>
        </is>
      </c>
      <c r="B14" s="45" t="inlineStr">
        <is>
          <t>Semaglutide</t>
        </is>
      </c>
      <c r="C14" s="45" t="inlineStr">
        <is>
          <t>Novo Nordisk</t>
        </is>
      </c>
      <c r="D14" s="45" t="inlineStr">
        <is>
          <t>Type 2 diabetes</t>
        </is>
      </c>
      <c r="E14" s="45" t="inlineStr">
        <is>
          <t>Weekly injection; tablets from 2026-05-04</t>
        </is>
      </c>
      <c r="F14" s="29" t="inlineStr">
        <is>
          <t>2017-12-05</t>
        </is>
      </c>
      <c r="G14" s="45" t="inlineStr">
        <is>
          <t>Active</t>
        </is>
      </c>
      <c r="H14" s="45" t="inlineStr">
        <is>
          <t>GLP-1 RA</t>
        </is>
      </c>
      <c r="I14" s="45" t="inlineStr">
        <is>
          <t>Launch and current public WAC</t>
        </is>
      </c>
    </row>
    <row r="15">
      <c r="A15" s="43" t="inlineStr">
        <is>
          <t>Rybelsus</t>
        </is>
      </c>
      <c r="B15" s="43" t="inlineStr">
        <is>
          <t>Semaglutide</t>
        </is>
      </c>
      <c r="C15" s="43" t="inlineStr">
        <is>
          <t>Novo Nordisk</t>
        </is>
      </c>
      <c r="D15" s="43" t="inlineStr">
        <is>
          <t>Type 2 diabetes</t>
        </is>
      </c>
      <c r="E15" s="43" t="inlineStr">
        <is>
          <t>Daily tablet</t>
        </is>
      </c>
      <c r="F15" s="28" t="inlineStr">
        <is>
          <t>2019-09-20</t>
        </is>
      </c>
      <c r="G15" s="43" t="inlineStr">
        <is>
          <t>Phased out in U.S.; 1.5/4/9 mg tablets renamed Ozempic tablets (name approved 2026-01-30, launched 2026-05-04)</t>
        </is>
      </c>
      <c r="H15" s="43" t="inlineStr">
        <is>
          <t>GLP-1 RA</t>
        </is>
      </c>
      <c r="I15" s="43" t="inlineStr">
        <is>
          <t>Current public WAC</t>
        </is>
      </c>
    </row>
    <row r="16">
      <c r="A16" s="45" t="inlineStr">
        <is>
          <t>Wegovy</t>
        </is>
      </c>
      <c r="B16" s="45" t="inlineStr">
        <is>
          <t>Semaglutide</t>
        </is>
      </c>
      <c r="C16" s="45" t="inlineStr">
        <is>
          <t>Novo Nordisk</t>
        </is>
      </c>
      <c r="D16" s="45" t="inlineStr">
        <is>
          <t>Chronic weight management</t>
        </is>
      </c>
      <c r="E16" s="45" t="inlineStr">
        <is>
          <t>Weekly injection</t>
        </is>
      </c>
      <c r="F16" s="29" t="inlineStr">
        <is>
          <t>2021-06-04</t>
        </is>
      </c>
      <c r="G16" s="45" t="inlineStr">
        <is>
          <t>Active</t>
        </is>
      </c>
      <c r="H16" s="45" t="inlineStr">
        <is>
          <t>GLP-1 RA</t>
        </is>
      </c>
      <c r="I16" s="45" t="inlineStr">
        <is>
          <t>WAC and direct-pay series</t>
        </is>
      </c>
    </row>
    <row r="17" ht="26" customHeight="1" s="48">
      <c r="A17" s="43" t="inlineStr">
        <is>
          <t>Mounjaro</t>
        </is>
      </c>
      <c r="B17" s="43" t="inlineStr">
        <is>
          <t>Tirzepatide</t>
        </is>
      </c>
      <c r="C17" s="43" t="inlineStr">
        <is>
          <t>Eli Lilly</t>
        </is>
      </c>
      <c r="D17" s="43" t="inlineStr">
        <is>
          <t>Type 2 diabetes</t>
        </is>
      </c>
      <c r="E17" s="43" t="inlineStr">
        <is>
          <t>Weekly injection</t>
        </is>
      </c>
      <c r="F17" s="28" t="inlineStr">
        <is>
          <t>2022-05-13</t>
        </is>
      </c>
      <c r="G17" s="43" t="inlineStr">
        <is>
          <t>Active</t>
        </is>
      </c>
      <c r="H17" s="43" t="inlineStr">
        <is>
          <t>Dual GIP/GLP-1 RA</t>
        </is>
      </c>
      <c r="I17" s="43" t="inlineStr">
        <is>
          <t>Included because it competes directly in GLP-1 market</t>
        </is>
      </c>
    </row>
    <row r="18">
      <c r="A18" s="45" t="inlineStr">
        <is>
          <t>Zepbound</t>
        </is>
      </c>
      <c r="B18" s="45" t="inlineStr">
        <is>
          <t>Tirzepatide</t>
        </is>
      </c>
      <c r="C18" s="45" t="inlineStr">
        <is>
          <t>Eli Lilly</t>
        </is>
      </c>
      <c r="D18" s="45" t="inlineStr">
        <is>
          <t>Chronic weight management / OSA</t>
        </is>
      </c>
      <c r="E18" s="45" t="inlineStr">
        <is>
          <t>Weekly injection</t>
        </is>
      </c>
      <c r="F18" s="29" t="inlineStr">
        <is>
          <t>2023-11-08</t>
        </is>
      </c>
      <c r="G18" s="45" t="inlineStr">
        <is>
          <t>Active</t>
        </is>
      </c>
      <c r="H18" s="45" t="inlineStr">
        <is>
          <t>Dual GIP/GLP-1 RA</t>
        </is>
      </c>
      <c r="I18" s="45" t="inlineStr">
        <is>
          <t>Pen, vial and KwikPen channels</t>
        </is>
      </c>
    </row>
    <row r="19">
      <c r="A19" s="43" t="inlineStr">
        <is>
          <t>Wegovy tablets</t>
        </is>
      </c>
      <c r="B19" s="43" t="inlineStr">
        <is>
          <t>Semaglutide</t>
        </is>
      </c>
      <c r="C19" s="43" t="inlineStr">
        <is>
          <t>Novo Nordisk</t>
        </is>
      </c>
      <c r="D19" s="43" t="inlineStr">
        <is>
          <t>Chronic weight management</t>
        </is>
      </c>
      <c r="E19" s="43" t="inlineStr">
        <is>
          <t>Daily tablet</t>
        </is>
      </c>
      <c r="F19" s="28" t="inlineStr">
        <is>
          <t>2025-12-22</t>
        </is>
      </c>
      <c r="G19" s="43" t="inlineStr">
        <is>
          <t>Active; launched 2026-01-05</t>
        </is>
      </c>
      <c r="H19" s="43" t="inlineStr">
        <is>
          <t>GLP-1 RA</t>
        </is>
      </c>
      <c r="I19" s="43" t="inlineStr">
        <is>
          <t>Direct-pay dose tiers</t>
        </is>
      </c>
    </row>
    <row r="20">
      <c r="A20" s="45" t="inlineStr">
        <is>
          <t>Zepbound KwikPen</t>
        </is>
      </c>
      <c r="B20" s="45" t="inlineStr">
        <is>
          <t>Tirzepatide</t>
        </is>
      </c>
      <c r="C20" s="45" t="inlineStr">
        <is>
          <t>Eli Lilly</t>
        </is>
      </c>
      <c r="D20" s="45" t="inlineStr">
        <is>
          <t>Chronic weight management / OSA</t>
        </is>
      </c>
      <c r="E20" s="45" t="inlineStr">
        <is>
          <t>Monthly multidose pen</t>
        </is>
      </c>
      <c r="F20" s="29" t="inlineStr">
        <is>
          <t>2026-02-23</t>
        </is>
      </c>
      <c r="G20" s="45" t="inlineStr">
        <is>
          <t>Active; label expansion announced 2026-02-23 (FDA action reported 2026-01-20)</t>
        </is>
      </c>
      <c r="H20" s="45" t="inlineStr">
        <is>
          <t>Dual GIP/GLP-1 RA</t>
        </is>
      </c>
      <c r="I20" s="45" t="inlineStr">
        <is>
          <t>Four doses per device</t>
        </is>
      </c>
    </row>
    <row r="21">
      <c r="A21" s="43" t="inlineStr">
        <is>
          <t>Foundayo</t>
        </is>
      </c>
      <c r="B21" s="43" t="inlineStr">
        <is>
          <t>Orforglipron</t>
        </is>
      </c>
      <c r="C21" s="43" t="inlineStr">
        <is>
          <t>Eli Lilly</t>
        </is>
      </c>
      <c r="D21" s="43" t="inlineStr">
        <is>
          <t>Chronic weight management</t>
        </is>
      </c>
      <c r="E21" s="43" t="inlineStr">
        <is>
          <t>Daily tablet</t>
        </is>
      </c>
      <c r="F21" s="28" t="inlineStr">
        <is>
          <t>2026-04-01</t>
        </is>
      </c>
      <c r="G21" s="43" t="inlineStr">
        <is>
          <t>Active; launched 2026-04-06</t>
        </is>
      </c>
      <c r="H21" s="43" t="inlineStr">
        <is>
          <t>GLP-1 RA</t>
        </is>
      </c>
      <c r="I21" s="43" t="inlineStr">
        <is>
          <t>Cash price $149-$349</t>
        </is>
      </c>
    </row>
    <row r="22">
      <c r="A22" s="45" t="inlineStr">
        <is>
          <t>Wegovy HD</t>
        </is>
      </c>
      <c r="B22" s="45" t="inlineStr">
        <is>
          <t>Semaglutide</t>
        </is>
      </c>
      <c r="C22" s="45" t="inlineStr">
        <is>
          <t>Novo Nordisk</t>
        </is>
      </c>
      <c r="D22" s="45" t="inlineStr">
        <is>
          <t>Chronic weight management</t>
        </is>
      </c>
      <c r="E22" s="45" t="inlineStr">
        <is>
          <t>Weekly 7.2 mg injection</t>
        </is>
      </c>
      <c r="F22" s="29" t="inlineStr">
        <is>
          <t>2026-03-19</t>
        </is>
      </c>
      <c r="G22" s="45" t="inlineStr">
        <is>
          <t>Active; launched 2026-04-07</t>
        </is>
      </c>
      <c r="H22" s="45" t="inlineStr">
        <is>
          <t>GLP-1 RA</t>
        </is>
      </c>
      <c r="I22" s="45" t="inlineStr">
        <is>
          <t>$399 self-pay; WAC $1,349.02</t>
        </is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0" verticalDpi="0"/>
</worksheet>
</file>

<file path=xl/worksheets/sheet8.xml><?xml version="1.0" encoding="utf-8"?>
<worksheet xmlns:r="http://schemas.openxmlformats.org/officeDocument/2006/relationships" xmlns="http://schemas.openxmlformats.org/spreadsheetml/2006/main">
  <sheetPr>
    <tabColor rgb="FF00A6C8"/>
    <outlinePr summaryBelow="1" summaryRight="1"/>
    <pageSetUpPr/>
  </sheetPr>
  <dimension ref="A1:K139"/>
  <sheetViews>
    <sheetView showGridLines="0" zoomScale="75" workbookViewId="0">
      <pane ySplit="4" topLeftCell="A5" activePane="bottomLeft" state="frozen"/>
      <selection pane="bottomLeft" activeCell="B30" sqref="B30"/>
    </sheetView>
  </sheetViews>
  <sheetFormatPr baseColWidth="10" defaultColWidth="8.83203125" defaultRowHeight="14"/>
  <cols>
    <col width="13" customWidth="1" style="48" min="1" max="1"/>
    <col width="20" customWidth="1" style="48" min="2" max="2"/>
    <col width="15" customWidth="1" style="48" min="3" max="3"/>
    <col width="25" customWidth="1" style="48" min="4" max="4"/>
    <col width="20" customWidth="1" style="48" min="5" max="5"/>
    <col width="14" customWidth="1" style="48" min="6" max="6"/>
    <col width="18" customWidth="1" style="48" min="7" max="7"/>
    <col width="16" customWidth="1" style="48" min="8" max="8"/>
    <col width="11" customWidth="1" style="48" min="9" max="9"/>
    <col width="21" customWidth="1" style="48" min="10" max="10"/>
    <col width="44" customWidth="1" style="48" min="11" max="11"/>
    <col width="3" customWidth="1" style="48" min="12" max="12"/>
    <col width="12" customWidth="1" style="48" min="13" max="22"/>
  </cols>
  <sheetData>
    <row r="1" ht="30" customHeight="1" s="48">
      <c r="A1" s="37" t="inlineStr">
        <is>
          <t>WAC / List Price History</t>
        </is>
      </c>
    </row>
    <row r="2" ht="34" customHeight="1" s="48"/>
    <row r="3">
      <c r="A3" s="69" t="inlineStr">
        <is>
          <t>Date</t>
        </is>
      </c>
      <c r="B3" s="69" t="inlineStr">
        <is>
          <t>Date type</t>
        </is>
      </c>
      <c r="C3" s="69" t="inlineStr">
        <is>
          <t>Product</t>
        </is>
      </c>
      <c r="D3" s="69" t="inlineStr">
        <is>
          <t>Presentation</t>
        </is>
      </c>
      <c r="E3" s="69" t="inlineStr">
        <is>
          <t>Dose</t>
        </is>
      </c>
      <c r="F3" s="69" t="inlineStr">
        <is>
          <t>Price</t>
        </is>
      </c>
      <c r="G3" s="69" t="inlineStr">
        <is>
          <t>Unit</t>
        </is>
      </c>
      <c r="H3" s="69" t="inlineStr">
        <is>
          <t>Concept</t>
        </is>
      </c>
      <c r="I3" s="69" t="inlineStr">
        <is>
          <t>Source</t>
        </is>
      </c>
      <c r="J3" s="69" t="inlineStr">
        <is>
          <t>Status</t>
        </is>
      </c>
      <c r="K3" s="69" t="inlineStr">
        <is>
          <t>Note</t>
        </is>
      </c>
    </row>
    <row r="4" ht="30" customHeight="1" s="48">
      <c r="A4" s="28" t="inlineStr">
        <is>
          <t>2017-12-05</t>
        </is>
      </c>
      <c r="B4" s="43" t="inlineStr">
        <is>
          <t>Launch announcement</t>
        </is>
      </c>
      <c r="C4" s="43" t="inlineStr">
        <is>
          <t>Ozempic</t>
        </is>
      </c>
      <c r="D4" s="43" t="inlineStr">
        <is>
          <t>Injection, four-to-six-week supply</t>
        </is>
      </c>
      <c r="E4" s="43" t="inlineStr">
        <is>
          <t>All launch strengths</t>
        </is>
      </c>
      <c r="F4" s="21" t="n">
        <v>676</v>
      </c>
      <c r="G4" s="43" t="inlineStr">
        <is>
          <t>USD / fill</t>
        </is>
      </c>
      <c r="H4" s="43" t="inlineStr">
        <is>
          <t>Public report</t>
        </is>
      </c>
      <c r="I4" s="43" t="inlineStr">
        <is>
          <t>S24</t>
        </is>
      </c>
      <c r="J4" s="43" t="inlineStr">
        <is>
          <t>Historical observed</t>
        </is>
      </c>
      <c r="K4" s="43" t="inlineStr">
        <is>
          <t>Planned price reported at FDA approval</t>
        </is>
      </c>
    </row>
    <row r="5">
      <c r="A5" s="29" t="inlineStr">
        <is>
          <t>2021-06-04</t>
        </is>
      </c>
      <c r="B5" s="45" t="inlineStr">
        <is>
          <t>Launch/current benchmark</t>
        </is>
      </c>
      <c r="C5" s="45" t="inlineStr">
        <is>
          <t>Wegovy</t>
        </is>
      </c>
      <c r="D5" s="45" t="inlineStr">
        <is>
          <t>4-pen package</t>
        </is>
      </c>
      <c r="E5" s="45" t="inlineStr">
        <is>
          <t>All injection doses</t>
        </is>
      </c>
      <c r="F5" s="22" t="n">
        <v>1349.02</v>
      </c>
      <c r="G5" s="45" t="inlineStr">
        <is>
          <t>USD / 28-day fill</t>
        </is>
      </c>
      <c r="H5" s="45" t="inlineStr">
        <is>
          <t>WAC/list</t>
        </is>
      </c>
      <c r="I5" s="45" t="inlineStr">
        <is>
          <t>S02</t>
        </is>
      </c>
      <c r="J5" s="45" t="inlineStr">
        <is>
          <t>Historical/current</t>
        </is>
      </c>
      <c r="K5" s="45" t="inlineStr">
        <is>
          <t>Public WAC remained $1,349.02 in observations reviewed</t>
        </is>
      </c>
    </row>
    <row r="6" ht="26" customHeight="1" s="48">
      <c r="A6" s="28" t="inlineStr">
        <is>
          <t>2022-05-20</t>
        </is>
      </c>
      <c r="B6" s="43" t="inlineStr">
        <is>
          <t>Launch observation</t>
        </is>
      </c>
      <c r="C6" s="43" t="inlineStr">
        <is>
          <t>Mounjaro</t>
        </is>
      </c>
      <c r="D6" s="43" t="inlineStr">
        <is>
          <t>4-pen package</t>
        </is>
      </c>
      <c r="E6" s="43" t="inlineStr">
        <is>
          <t>All doses</t>
        </is>
      </c>
      <c r="F6" s="21" t="n">
        <v>974.33</v>
      </c>
      <c r="G6" s="43" t="inlineStr">
        <is>
          <t>USD / 28-day fill</t>
        </is>
      </c>
      <c r="H6" s="43" t="inlineStr">
        <is>
          <t>WAC/list</t>
        </is>
      </c>
      <c r="I6" s="43" t="inlineStr">
        <is>
          <t>S07</t>
        </is>
      </c>
      <c r="J6" s="43" t="inlineStr">
        <is>
          <t>Historical observed</t>
        </is>
      </c>
      <c r="K6" s="43" t="inlineStr">
        <is>
          <t>Launch price reported publicly; exact historical source noted in methodology</t>
        </is>
      </c>
    </row>
    <row r="7">
      <c r="A7" s="29" t="inlineStr">
        <is>
          <t>2023-06-30</t>
        </is>
      </c>
      <c r="B7" s="45" t="inlineStr">
        <is>
          <t>Public observation</t>
        </is>
      </c>
      <c r="C7" s="45" t="inlineStr">
        <is>
          <t>Trulicity</t>
        </is>
      </c>
      <c r="D7" s="45" t="inlineStr">
        <is>
          <t>4-pen package</t>
        </is>
      </c>
      <c r="E7" s="45" t="inlineStr">
        <is>
          <t>All doses</t>
        </is>
      </c>
      <c r="F7" s="22" t="n">
        <v>930.88</v>
      </c>
      <c r="G7" s="45" t="inlineStr">
        <is>
          <t>USD / 28-day fill</t>
        </is>
      </c>
      <c r="H7" s="45" t="inlineStr">
        <is>
          <t>WAC/list</t>
        </is>
      </c>
      <c r="I7" s="45" t="inlineStr">
        <is>
          <t>S09</t>
        </is>
      </c>
      <c r="J7" s="45" t="inlineStr">
        <is>
          <t>Historical observed</t>
        </is>
      </c>
      <c r="K7" s="45" t="inlineStr">
        <is>
          <t>Public 2023 price observation</t>
        </is>
      </c>
    </row>
    <row r="8">
      <c r="A8" s="28" t="inlineStr">
        <is>
          <t>2023-11-08</t>
        </is>
      </c>
      <c r="B8" s="43" t="inlineStr">
        <is>
          <t>Launch announcement</t>
        </is>
      </c>
      <c r="C8" s="43" t="inlineStr">
        <is>
          <t>Zepbound</t>
        </is>
      </c>
      <c r="D8" s="43" t="inlineStr">
        <is>
          <t>4 single-dose pens</t>
        </is>
      </c>
      <c r="E8" s="43" t="inlineStr">
        <is>
          <t>All doses</t>
        </is>
      </c>
      <c r="F8" s="21" t="n">
        <v>1059.87</v>
      </c>
      <c r="G8" s="43" t="inlineStr">
        <is>
          <t>USD / 28-day fill</t>
        </is>
      </c>
      <c r="H8" s="43" t="inlineStr">
        <is>
          <t>WAC/list</t>
        </is>
      </c>
      <c r="I8" s="43" t="inlineStr">
        <is>
          <t>S11</t>
        </is>
      </c>
      <c r="J8" s="43" t="inlineStr">
        <is>
          <t>Historical observed</t>
        </is>
      </c>
      <c r="K8" s="43" t="inlineStr">
        <is>
          <t>Launch WAC</t>
        </is>
      </c>
    </row>
    <row r="9">
      <c r="A9" s="29" t="inlineStr">
        <is>
          <t>2024-05-16</t>
        </is>
      </c>
      <c r="B9" s="45" t="inlineStr">
        <is>
          <t>Public observation</t>
        </is>
      </c>
      <c r="C9" s="45" t="inlineStr">
        <is>
          <t>Mounjaro</t>
        </is>
      </c>
      <c r="D9" s="45" t="inlineStr">
        <is>
          <t>4-pen package</t>
        </is>
      </c>
      <c r="E9" s="45" t="inlineStr">
        <is>
          <t>All doses</t>
        </is>
      </c>
      <c r="F9" s="22" t="n">
        <v>1069.08</v>
      </c>
      <c r="G9" s="45" t="inlineStr">
        <is>
          <t>USD / 28-day fill</t>
        </is>
      </c>
      <c r="H9" s="45" t="inlineStr">
        <is>
          <t>WAC/list</t>
        </is>
      </c>
      <c r="I9" s="45" t="inlineStr">
        <is>
          <t>S07</t>
        </is>
      </c>
      <c r="J9" s="45" t="inlineStr">
        <is>
          <t>Historical observed</t>
        </is>
      </c>
      <c r="K9" s="45" t="inlineStr">
        <is>
          <t>Public 2024 price observation</t>
        </is>
      </c>
    </row>
    <row r="10">
      <c r="A10" s="28" t="inlineStr">
        <is>
          <t>2024-05-28</t>
        </is>
      </c>
      <c r="B10" s="43" t="inlineStr">
        <is>
          <t>Public observation</t>
        </is>
      </c>
      <c r="C10" s="43" t="inlineStr">
        <is>
          <t>Ozempic</t>
        </is>
      </c>
      <c r="D10" s="43" t="inlineStr">
        <is>
          <t>1-pen package</t>
        </is>
      </c>
      <c r="E10" s="43" t="inlineStr">
        <is>
          <t>2 mg pen</t>
        </is>
      </c>
      <c r="F10" s="21" t="n">
        <v>935.77</v>
      </c>
      <c r="G10" s="43" t="inlineStr">
        <is>
          <t>USD / fill</t>
        </is>
      </c>
      <c r="H10" s="43" t="inlineStr">
        <is>
          <t>WAC/list</t>
        </is>
      </c>
      <c r="I10" s="43" t="inlineStr">
        <is>
          <t>S22</t>
        </is>
      </c>
      <c r="J10" s="43" t="inlineStr">
        <is>
          <t>Historical observed</t>
        </is>
      </c>
      <c r="K10" s="43" t="inlineStr">
        <is>
          <t>Quoted in Novo middlemen response coverage</t>
        </is>
      </c>
    </row>
    <row r="11">
      <c r="A11" s="29" t="inlineStr">
        <is>
          <t>2025-12-12</t>
        </is>
      </c>
      <c r="B11" s="45" t="inlineStr">
        <is>
          <t>Public observation</t>
        </is>
      </c>
      <c r="C11" s="45" t="inlineStr">
        <is>
          <t>Ozempic</t>
        </is>
      </c>
      <c r="D11" s="45" t="inlineStr">
        <is>
          <t>1-pen package</t>
        </is>
      </c>
      <c r="E11" s="45" t="inlineStr">
        <is>
          <t>All injection doses</t>
        </is>
      </c>
      <c r="F11" s="22" t="n">
        <v>997.58</v>
      </c>
      <c r="G11" s="45" t="inlineStr">
        <is>
          <t>USD / fill</t>
        </is>
      </c>
      <c r="H11" s="45" t="inlineStr">
        <is>
          <t>WAC/list</t>
        </is>
      </c>
      <c r="I11" s="45" t="inlineStr">
        <is>
          <t>S03</t>
        </is>
      </c>
      <c r="J11" s="45" t="inlineStr">
        <is>
          <t>Historical observed</t>
        </is>
      </c>
      <c r="K11" s="45" t="inlineStr">
        <is>
          <t>Public late-2025 observation</t>
        </is>
      </c>
    </row>
    <row r="12">
      <c r="A12" s="28" t="inlineStr">
        <is>
          <t>2026-07-21</t>
        </is>
      </c>
      <c r="B12" s="43" t="inlineStr">
        <is>
          <t>Public current summary</t>
        </is>
      </c>
      <c r="C12" s="43" t="inlineStr">
        <is>
          <t>Zepbound</t>
        </is>
      </c>
      <c r="D12" s="43" t="inlineStr">
        <is>
          <t>Lower-price presentation</t>
        </is>
      </c>
      <c r="E12" s="43" t="inlineStr">
        <is>
          <t>Selected presentations</t>
        </is>
      </c>
      <c r="F12" s="21" t="n">
        <v>499</v>
      </c>
      <c r="G12" s="43" t="inlineStr">
        <is>
          <t>USD / fill</t>
        </is>
      </c>
      <c r="H12" s="43" t="inlineStr">
        <is>
          <t>WAC/list floor</t>
        </is>
      </c>
      <c r="I12" s="43" t="inlineStr">
        <is>
          <t>S17</t>
        </is>
      </c>
      <c r="J12" s="43" t="inlineStr">
        <is>
          <t>Current observed</t>
        </is>
      </c>
      <c r="K12" s="43" t="inlineStr">
        <is>
          <t>Reuters reports public list-price range of $499-$1,086.37</t>
        </is>
      </c>
    </row>
    <row r="13">
      <c r="A13" s="29" t="inlineStr">
        <is>
          <t>2026-07-21</t>
        </is>
      </c>
      <c r="B13" s="45" t="inlineStr">
        <is>
          <t>Public current summary</t>
        </is>
      </c>
      <c r="C13" s="45" t="inlineStr">
        <is>
          <t>Zepbound</t>
        </is>
      </c>
      <c r="D13" s="45" t="inlineStr">
        <is>
          <t>Single-dose pen presentation</t>
        </is>
      </c>
      <c r="E13" s="45" t="inlineStr">
        <is>
          <t>All pen doses</t>
        </is>
      </c>
      <c r="F13" s="22" t="n">
        <v>1086.37</v>
      </c>
      <c r="G13" s="45" t="inlineStr">
        <is>
          <t>USD / 28-day fill</t>
        </is>
      </c>
      <c r="H13" s="45" t="inlineStr">
        <is>
          <t>WAC/list ceiling</t>
        </is>
      </c>
      <c r="I13" s="45" t="inlineStr">
        <is>
          <t>S17</t>
        </is>
      </c>
      <c r="J13" s="45" t="inlineStr">
        <is>
          <t>Current observed</t>
        </is>
      </c>
      <c r="K13" s="45" t="inlineStr">
        <is>
          <t>Not the same as direct-to-patient price</t>
        </is>
      </c>
    </row>
    <row r="14">
      <c r="A14" s="28" t="inlineStr">
        <is>
          <t>2026-09-10</t>
        </is>
      </c>
      <c r="B14" s="43" t="inlineStr">
        <is>
          <t>Official current page</t>
        </is>
      </c>
      <c r="C14" s="43" t="inlineStr">
        <is>
          <t>Wegovy</t>
        </is>
      </c>
      <c r="D14" s="43" t="inlineStr">
        <is>
          <t>Injection / HD / tablets</t>
        </is>
      </c>
      <c r="E14" s="43" t="inlineStr">
        <is>
          <t>All listed doses</t>
        </is>
      </c>
      <c r="F14" s="21" t="n">
        <v>1349.02</v>
      </c>
      <c r="G14" s="43" t="inlineStr">
        <is>
          <t>USD / fill</t>
        </is>
      </c>
      <c r="H14" s="43" t="inlineStr">
        <is>
          <t>WAC/list</t>
        </is>
      </c>
      <c r="I14" s="43" t="inlineStr">
        <is>
          <t>S02</t>
        </is>
      </c>
      <c r="J14" s="43" t="inlineStr">
        <is>
          <t>Current observed</t>
        </is>
      </c>
      <c r="K14" s="43" t="inlineStr">
        <is>
          <t>Same WAC across listed forms/doses</t>
        </is>
      </c>
    </row>
    <row r="15">
      <c r="A15" s="29" t="inlineStr">
        <is>
          <t>2026-09-10</t>
        </is>
      </c>
      <c r="B15" s="45" t="inlineStr">
        <is>
          <t>Official current page</t>
        </is>
      </c>
      <c r="C15" s="45" t="inlineStr">
        <is>
          <t>Ozempic</t>
        </is>
      </c>
      <c r="D15" s="45" t="inlineStr">
        <is>
          <t>Injection / tablets</t>
        </is>
      </c>
      <c r="E15" s="45" t="inlineStr">
        <is>
          <t>All listed doses</t>
        </is>
      </c>
      <c r="F15" s="22" t="n">
        <v>1027.51</v>
      </c>
      <c r="G15" s="45" t="inlineStr">
        <is>
          <t>USD / fill</t>
        </is>
      </c>
      <c r="H15" s="45" t="inlineStr">
        <is>
          <t>WAC/list</t>
        </is>
      </c>
      <c r="I15" s="45" t="inlineStr">
        <is>
          <t>S03</t>
        </is>
      </c>
      <c r="J15" s="45" t="inlineStr">
        <is>
          <t>Current observed</t>
        </is>
      </c>
      <c r="K15" s="45" t="inlineStr">
        <is>
          <t>Same WAC across listed forms/doses</t>
        </is>
      </c>
    </row>
    <row r="16">
      <c r="A16" s="28" t="inlineStr">
        <is>
          <t>2026-09-10</t>
        </is>
      </c>
      <c r="B16" s="43" t="inlineStr">
        <is>
          <t>Official current page</t>
        </is>
      </c>
      <c r="C16" s="43" t="inlineStr">
        <is>
          <t>Rybelsus</t>
        </is>
      </c>
      <c r="D16" s="43" t="inlineStr">
        <is>
          <t>30-tablet pack</t>
        </is>
      </c>
      <c r="E16" s="43" t="inlineStr">
        <is>
          <t>3, 7, 14 mg</t>
        </is>
      </c>
      <c r="F16" s="21" t="n">
        <v>1027.51</v>
      </c>
      <c r="G16" s="43" t="inlineStr">
        <is>
          <t>USD / 30-day fill</t>
        </is>
      </c>
      <c r="H16" s="43" t="inlineStr">
        <is>
          <t>WAC/list</t>
        </is>
      </c>
      <c r="I16" s="43" t="inlineStr">
        <is>
          <t>S04</t>
        </is>
      </c>
      <c r="J16" s="43" t="inlineStr">
        <is>
          <t>Current observed</t>
        </is>
      </c>
      <c r="K16" s="43" t="inlineStr">
        <is>
          <t>Same WAC across listed doses</t>
        </is>
      </c>
    </row>
    <row r="17">
      <c r="A17" s="29" t="inlineStr">
        <is>
          <t>2026-09-10</t>
        </is>
      </c>
      <c r="B17" s="45" t="inlineStr">
        <is>
          <t>Official current page</t>
        </is>
      </c>
      <c r="C17" s="45" t="inlineStr">
        <is>
          <t>Victoza</t>
        </is>
      </c>
      <c r="D17" s="45" t="inlineStr">
        <is>
          <t>2-pen package</t>
        </is>
      </c>
      <c r="E17" s="45" t="inlineStr">
        <is>
          <t>0.6/1.2 mg dosing</t>
        </is>
      </c>
      <c r="F17" s="22" t="n">
        <v>543.51</v>
      </c>
      <c r="G17" s="45" t="inlineStr">
        <is>
          <t>USD / package</t>
        </is>
      </c>
      <c r="H17" s="45" t="inlineStr">
        <is>
          <t>WAC/list</t>
        </is>
      </c>
      <c r="I17" s="45" t="inlineStr">
        <is>
          <t>S05</t>
        </is>
      </c>
      <c r="J17" s="45" t="inlineStr">
        <is>
          <t>Current observed</t>
        </is>
      </c>
      <c r="K17" s="45" t="inlineStr">
        <is>
          <t>Pack size matters</t>
        </is>
      </c>
    </row>
    <row r="18">
      <c r="A18" s="28" t="inlineStr">
        <is>
          <t>2026-09-10</t>
        </is>
      </c>
      <c r="B18" s="43" t="inlineStr">
        <is>
          <t>Official current page</t>
        </is>
      </c>
      <c r="C18" s="43" t="inlineStr">
        <is>
          <t>Victoza</t>
        </is>
      </c>
      <c r="D18" s="43" t="inlineStr">
        <is>
          <t>3-pen package</t>
        </is>
      </c>
      <c r="E18" s="43" t="inlineStr">
        <is>
          <t>1.8 mg dosing</t>
        </is>
      </c>
      <c r="F18" s="21" t="n">
        <v>815.27</v>
      </c>
      <c r="G18" s="43" t="inlineStr">
        <is>
          <t>USD / package</t>
        </is>
      </c>
      <c r="H18" s="43" t="inlineStr">
        <is>
          <t>WAC/list</t>
        </is>
      </c>
      <c r="I18" s="43" t="inlineStr">
        <is>
          <t>S05</t>
        </is>
      </c>
      <c r="J18" s="43" t="inlineStr">
        <is>
          <t>Current observed</t>
        </is>
      </c>
      <c r="K18" s="43" t="inlineStr">
        <is>
          <t>Pack size matters</t>
        </is>
      </c>
    </row>
    <row r="19">
      <c r="A19" s="29" t="inlineStr">
        <is>
          <t>2026-09-10</t>
        </is>
      </c>
      <c r="B19" s="45" t="inlineStr">
        <is>
          <t>Official current page</t>
        </is>
      </c>
      <c r="C19" s="45" t="inlineStr">
        <is>
          <t>Saxenda</t>
        </is>
      </c>
      <c r="D19" s="45" t="inlineStr">
        <is>
          <t>5-pen package</t>
        </is>
      </c>
      <c r="E19" s="45" t="inlineStr">
        <is>
          <t>3 mg daily</t>
        </is>
      </c>
      <c r="F19" s="22" t="n">
        <v>1349.02</v>
      </c>
      <c r="G19" s="45" t="inlineStr">
        <is>
          <t>USD / package</t>
        </is>
      </c>
      <c r="H19" s="45" t="inlineStr">
        <is>
          <t>WAC/list</t>
        </is>
      </c>
      <c r="I19" s="45" t="inlineStr">
        <is>
          <t>S06</t>
        </is>
      </c>
      <c r="J19" s="45" t="inlineStr">
        <is>
          <t>Current observed</t>
        </is>
      </c>
      <c r="K19" s="45" t="inlineStr">
        <is>
          <t>Branded package WAC</t>
        </is>
      </c>
    </row>
    <row r="20">
      <c r="A20" s="28" t="inlineStr">
        <is>
          <t>2026-09-10</t>
        </is>
      </c>
      <c r="B20" s="43" t="inlineStr">
        <is>
          <t>Official current page</t>
        </is>
      </c>
      <c r="C20" s="43" t="inlineStr">
        <is>
          <t>Mounjaro</t>
        </is>
      </c>
      <c r="D20" s="43" t="inlineStr">
        <is>
          <t>4-pen package</t>
        </is>
      </c>
      <c r="E20" s="43" t="inlineStr">
        <is>
          <t>All doses</t>
        </is>
      </c>
      <c r="F20" s="21" t="n">
        <v>1112.16</v>
      </c>
      <c r="G20" s="43" t="inlineStr">
        <is>
          <t>USD / 28-day fill</t>
        </is>
      </c>
      <c r="H20" s="43" t="inlineStr">
        <is>
          <t>WAC/list</t>
        </is>
      </c>
      <c r="I20" s="43" t="inlineStr">
        <is>
          <t>S07</t>
        </is>
      </c>
      <c r="J20" s="43" t="inlineStr">
        <is>
          <t>Current observed</t>
        </is>
      </c>
      <c r="K20" s="43" t="inlineStr">
        <is>
          <t>One fill defined as four pens</t>
        </is>
      </c>
    </row>
    <row r="21">
      <c r="A21" s="29" t="inlineStr">
        <is>
          <t>2026-09-10</t>
        </is>
      </c>
      <c r="B21" s="45" t="inlineStr">
        <is>
          <t>Official current page</t>
        </is>
      </c>
      <c r="C21" s="45" t="inlineStr">
        <is>
          <t>Trulicity</t>
        </is>
      </c>
      <c r="D21" s="45" t="inlineStr">
        <is>
          <t>4-pen package</t>
        </is>
      </c>
      <c r="E21" s="45" t="inlineStr">
        <is>
          <t>All doses</t>
        </is>
      </c>
      <c r="F21" s="22" t="n">
        <v>1006.93</v>
      </c>
      <c r="G21" s="45" t="inlineStr">
        <is>
          <t>USD / 28-day fill</t>
        </is>
      </c>
      <c r="H21" s="45" t="inlineStr">
        <is>
          <t>WAC/list</t>
        </is>
      </c>
      <c r="I21" s="45" t="inlineStr">
        <is>
          <t>S09</t>
        </is>
      </c>
      <c r="J21" s="45" t="inlineStr">
        <is>
          <t>Current observed</t>
        </is>
      </c>
      <c r="K21" s="45" t="inlineStr">
        <is>
          <t>One fill is a month</t>
        </is>
      </c>
    </row>
    <row r="22" ht="26" customHeight="1" s="48">
      <c r="A22" s="28" t="inlineStr">
        <is>
          <t>2027-01-01</t>
        </is>
      </c>
      <c r="B22" s="43" t="inlineStr">
        <is>
          <t>Announced effective date</t>
        </is>
      </c>
      <c r="C22" s="43" t="inlineStr">
        <is>
          <t>Wegovy</t>
        </is>
      </c>
      <c r="D22" s="43" t="inlineStr">
        <is>
          <t>Injection / tablets</t>
        </is>
      </c>
      <c r="E22" s="43" t="inlineStr">
        <is>
          <t>All doses</t>
        </is>
      </c>
      <c r="F22" s="21" t="n">
        <v>675</v>
      </c>
      <c r="G22" s="43" t="inlineStr">
        <is>
          <t>USD / fill</t>
        </is>
      </c>
      <c r="H22" s="43" t="inlineStr">
        <is>
          <t>Future WAC/list</t>
        </is>
      </c>
      <c r="I22" s="43" t="inlineStr">
        <is>
          <t>S18</t>
        </is>
      </c>
      <c r="J22" s="43" t="inlineStr">
        <is>
          <t>Announced; not yet effective</t>
        </is>
      </c>
      <c r="K22" s="43" t="inlineStr">
        <is>
          <t>Cash/self-pay prices explicitly unaffected</t>
        </is>
      </c>
    </row>
    <row r="23" ht="26" customHeight="1" s="48">
      <c r="A23" s="29" t="inlineStr">
        <is>
          <t>2027-01-01</t>
        </is>
      </c>
      <c r="B23" s="45" t="inlineStr">
        <is>
          <t>Announced effective date</t>
        </is>
      </c>
      <c r="C23" s="45" t="inlineStr">
        <is>
          <t>Ozempic</t>
        </is>
      </c>
      <c r="D23" s="45" t="inlineStr">
        <is>
          <t>Injection / tablets</t>
        </is>
      </c>
      <c r="E23" s="45" t="inlineStr">
        <is>
          <t>All doses</t>
        </is>
      </c>
      <c r="F23" s="22" t="n">
        <v>675</v>
      </c>
      <c r="G23" s="45" t="inlineStr">
        <is>
          <t>USD / fill</t>
        </is>
      </c>
      <c r="H23" s="45" t="inlineStr">
        <is>
          <t>Future WAC/list</t>
        </is>
      </c>
      <c r="I23" s="45" t="inlineStr">
        <is>
          <t>S18</t>
        </is>
      </c>
      <c r="J23" s="45" t="inlineStr">
        <is>
          <t>Announced; not yet effective</t>
        </is>
      </c>
      <c r="K23" s="45" t="inlineStr">
        <is>
          <t>35% cut from current WAC</t>
        </is>
      </c>
    </row>
    <row r="24" ht="26" customHeight="1" s="48">
      <c r="A24" s="28" t="inlineStr">
        <is>
          <t>2027-01-01</t>
        </is>
      </c>
      <c r="B24" s="43" t="inlineStr">
        <is>
          <t>Announced effective date</t>
        </is>
      </c>
      <c r="C24" s="43" t="inlineStr">
        <is>
          <t>Rybelsus</t>
        </is>
      </c>
      <c r="D24" s="43" t="inlineStr">
        <is>
          <t>30-tablet pack</t>
        </is>
      </c>
      <c r="E24" s="43" t="inlineStr">
        <is>
          <t>All doses</t>
        </is>
      </c>
      <c r="F24" s="21" t="n">
        <v>675</v>
      </c>
      <c r="G24" s="43" t="inlineStr">
        <is>
          <t>USD / 30-day fill</t>
        </is>
      </c>
      <c r="H24" s="43" t="inlineStr">
        <is>
          <t>Future WAC/list</t>
        </is>
      </c>
      <c r="I24" s="43" t="inlineStr">
        <is>
          <t>S18</t>
        </is>
      </c>
      <c r="J24" s="43" t="inlineStr">
        <is>
          <t>Announced; not yet effective</t>
        </is>
      </c>
      <c r="K24" s="43" t="inlineStr">
        <is>
          <t>Future date retained as status, not current</t>
        </is>
      </c>
    </row>
    <row r="28">
      <c r="A28" s="39" t="inlineStr">
        <is>
          <t>Monthly step series from dated observations</t>
        </is>
      </c>
    </row>
    <row r="29" ht="22" customHeight="1" s="48">
      <c r="A29" s="69" t="inlineStr">
        <is>
          <t>Month</t>
        </is>
      </c>
      <c r="B29" s="69" t="inlineStr">
        <is>
          <t>Ozempic</t>
        </is>
      </c>
      <c r="C29" s="69" t="inlineStr">
        <is>
          <t>Wegovy</t>
        </is>
      </c>
      <c r="D29" s="69" t="inlineStr">
        <is>
          <t>Mounjaro</t>
        </is>
      </c>
      <c r="E29" s="69" t="inlineStr">
        <is>
          <t>Zepbound</t>
        </is>
      </c>
      <c r="F29" s="73" t="n"/>
    </row>
    <row r="30" ht="30" customHeight="1" s="48">
      <c r="A30" s="43" t="inlineStr">
        <is>
          <t>2017-12</t>
        </is>
      </c>
      <c r="B30" s="21" t="n">
        <v>676</v>
      </c>
      <c r="C30" s="21" t="n"/>
      <c r="D30" s="21" t="n"/>
      <c r="E30" s="21" t="n"/>
    </row>
    <row r="31">
      <c r="A31" s="45" t="inlineStr">
        <is>
          <t>2018-01</t>
        </is>
      </c>
      <c r="B31" s="22" t="n">
        <v>676</v>
      </c>
      <c r="C31" s="22" t="n"/>
      <c r="D31" s="22" t="n"/>
      <c r="E31" s="22" t="n"/>
    </row>
    <row r="32">
      <c r="A32" s="43" t="inlineStr">
        <is>
          <t>2018-02</t>
        </is>
      </c>
      <c r="B32" s="21" t="n">
        <v>676</v>
      </c>
      <c r="C32" s="21" t="n"/>
      <c r="D32" s="21" t="n"/>
      <c r="E32" s="21" t="n"/>
    </row>
    <row r="33">
      <c r="A33" s="45" t="inlineStr">
        <is>
          <t>2018-03</t>
        </is>
      </c>
      <c r="B33" s="22" t="n">
        <v>676</v>
      </c>
      <c r="C33" s="22" t="n"/>
      <c r="D33" s="22" t="n"/>
      <c r="E33" s="22" t="n"/>
    </row>
    <row r="34">
      <c r="A34" s="43" t="inlineStr">
        <is>
          <t>2018-04</t>
        </is>
      </c>
      <c r="B34" s="21" t="n">
        <v>676</v>
      </c>
      <c r="C34" s="21" t="n"/>
      <c r="D34" s="21" t="n"/>
      <c r="E34" s="21" t="n"/>
    </row>
    <row r="35">
      <c r="A35" s="45" t="inlineStr">
        <is>
          <t>2018-05</t>
        </is>
      </c>
      <c r="B35" s="22" t="n">
        <v>676</v>
      </c>
      <c r="C35" s="22" t="n"/>
      <c r="D35" s="22" t="n"/>
      <c r="E35" s="22" t="n"/>
    </row>
    <row r="36">
      <c r="A36" s="43" t="inlineStr">
        <is>
          <t>2018-06</t>
        </is>
      </c>
      <c r="B36" s="21" t="n">
        <v>676</v>
      </c>
      <c r="C36" s="21" t="n"/>
      <c r="D36" s="21" t="n"/>
      <c r="E36" s="21" t="n"/>
    </row>
    <row r="37">
      <c r="A37" s="45" t="inlineStr">
        <is>
          <t>2018-07</t>
        </is>
      </c>
      <c r="B37" s="22" t="n">
        <v>676</v>
      </c>
      <c r="C37" s="22" t="n"/>
      <c r="D37" s="22" t="n"/>
      <c r="E37" s="22" t="n"/>
    </row>
    <row r="38">
      <c r="A38" s="43" t="inlineStr">
        <is>
          <t>2018-08</t>
        </is>
      </c>
      <c r="B38" s="21" t="n">
        <v>676</v>
      </c>
      <c r="C38" s="21" t="n"/>
      <c r="D38" s="21" t="n"/>
      <c r="E38" s="21" t="n"/>
    </row>
    <row r="39">
      <c r="A39" s="45" t="inlineStr">
        <is>
          <t>2018-09</t>
        </is>
      </c>
      <c r="B39" s="22" t="n">
        <v>676</v>
      </c>
      <c r="C39" s="22" t="n"/>
      <c r="D39" s="22" t="n"/>
      <c r="E39" s="22" t="n"/>
    </row>
    <row r="40">
      <c r="A40" s="43" t="inlineStr">
        <is>
          <t>2018-10</t>
        </is>
      </c>
      <c r="B40" s="21" t="n">
        <v>676</v>
      </c>
      <c r="C40" s="21" t="n"/>
      <c r="D40" s="21" t="n"/>
      <c r="E40" s="21" t="n"/>
    </row>
    <row r="41">
      <c r="A41" s="45" t="inlineStr">
        <is>
          <t>2018-11</t>
        </is>
      </c>
      <c r="B41" s="22" t="n">
        <v>676</v>
      </c>
      <c r="C41" s="22" t="n"/>
      <c r="D41" s="22" t="n"/>
      <c r="E41" s="22" t="n"/>
    </row>
    <row r="42">
      <c r="A42" s="43" t="inlineStr">
        <is>
          <t>2018-12</t>
        </is>
      </c>
      <c r="B42" s="21" t="n">
        <v>676</v>
      </c>
      <c r="C42" s="21" t="n"/>
      <c r="D42" s="21" t="n"/>
      <c r="E42" s="21" t="n"/>
    </row>
    <row r="43">
      <c r="A43" s="45" t="inlineStr">
        <is>
          <t>2019-01</t>
        </is>
      </c>
      <c r="B43" s="22" t="n">
        <v>676</v>
      </c>
      <c r="C43" s="22" t="n"/>
      <c r="D43" s="22" t="n"/>
      <c r="E43" s="22" t="n"/>
    </row>
    <row r="44">
      <c r="A44" s="43" t="inlineStr">
        <is>
          <t>2019-02</t>
        </is>
      </c>
      <c r="B44" s="21" t="n">
        <v>676</v>
      </c>
      <c r="C44" s="21" t="n"/>
      <c r="D44" s="21" t="n"/>
      <c r="E44" s="21" t="n"/>
    </row>
    <row r="45">
      <c r="A45" s="45" t="inlineStr">
        <is>
          <t>2019-03</t>
        </is>
      </c>
      <c r="B45" s="22" t="n">
        <v>676</v>
      </c>
      <c r="C45" s="22" t="n"/>
      <c r="D45" s="22" t="n"/>
      <c r="E45" s="22" t="n"/>
    </row>
    <row r="46">
      <c r="A46" s="43" t="inlineStr">
        <is>
          <t>2019-04</t>
        </is>
      </c>
      <c r="B46" s="21" t="n">
        <v>676</v>
      </c>
      <c r="C46" s="21" t="n"/>
      <c r="D46" s="21" t="n"/>
      <c r="E46" s="21" t="n"/>
    </row>
    <row r="47">
      <c r="A47" s="45" t="inlineStr">
        <is>
          <t>2019-05</t>
        </is>
      </c>
      <c r="B47" s="22" t="n">
        <v>676</v>
      </c>
      <c r="C47" s="22" t="n"/>
      <c r="D47" s="22" t="n"/>
      <c r="E47" s="22" t="n"/>
    </row>
    <row r="48">
      <c r="A48" s="43" t="inlineStr">
        <is>
          <t>2019-06</t>
        </is>
      </c>
      <c r="B48" s="21" t="n">
        <v>676</v>
      </c>
      <c r="C48" s="21" t="n"/>
      <c r="D48" s="21" t="n"/>
      <c r="E48" s="21" t="n"/>
    </row>
    <row r="49">
      <c r="A49" s="45" t="inlineStr">
        <is>
          <t>2019-07</t>
        </is>
      </c>
      <c r="B49" s="22" t="n">
        <v>676</v>
      </c>
      <c r="C49" s="22" t="n"/>
      <c r="D49" s="22" t="n"/>
      <c r="E49" s="22" t="n"/>
    </row>
    <row r="50">
      <c r="A50" s="43" t="inlineStr">
        <is>
          <t>2019-08</t>
        </is>
      </c>
      <c r="B50" s="21" t="n">
        <v>676</v>
      </c>
      <c r="C50" s="21" t="n"/>
      <c r="D50" s="21" t="n"/>
      <c r="E50" s="21" t="n"/>
    </row>
    <row r="51">
      <c r="A51" s="45" t="inlineStr">
        <is>
          <t>2019-09</t>
        </is>
      </c>
      <c r="B51" s="22" t="n">
        <v>676</v>
      </c>
      <c r="C51" s="22" t="n"/>
      <c r="D51" s="22" t="n"/>
      <c r="E51" s="22" t="n"/>
    </row>
    <row r="52">
      <c r="A52" s="43" t="inlineStr">
        <is>
          <t>2019-10</t>
        </is>
      </c>
      <c r="B52" s="21" t="n">
        <v>676</v>
      </c>
      <c r="C52" s="21" t="n"/>
      <c r="D52" s="21" t="n"/>
      <c r="E52" s="21" t="n"/>
    </row>
    <row r="53">
      <c r="A53" s="45" t="inlineStr">
        <is>
          <t>2019-11</t>
        </is>
      </c>
      <c r="B53" s="22" t="n">
        <v>676</v>
      </c>
      <c r="C53" s="22" t="n"/>
      <c r="D53" s="22" t="n"/>
      <c r="E53" s="22" t="n"/>
    </row>
    <row r="54">
      <c r="A54" s="43" t="inlineStr">
        <is>
          <t>2019-12</t>
        </is>
      </c>
      <c r="B54" s="21" t="n">
        <v>676</v>
      </c>
      <c r="C54" s="21" t="n"/>
      <c r="D54" s="21" t="n"/>
      <c r="E54" s="21" t="n"/>
    </row>
    <row r="55">
      <c r="A55" s="45" t="inlineStr">
        <is>
          <t>2020-01</t>
        </is>
      </c>
      <c r="B55" s="22" t="n">
        <v>676</v>
      </c>
      <c r="C55" s="22" t="n"/>
      <c r="D55" s="22" t="n"/>
      <c r="E55" s="22" t="n"/>
    </row>
    <row r="56">
      <c r="A56" s="43" t="inlineStr">
        <is>
          <t>2020-02</t>
        </is>
      </c>
      <c r="B56" s="21" t="n">
        <v>676</v>
      </c>
      <c r="C56" s="21" t="n"/>
      <c r="D56" s="21" t="n"/>
      <c r="E56" s="21" t="n"/>
    </row>
    <row r="57">
      <c r="A57" s="45" t="inlineStr">
        <is>
          <t>2020-03</t>
        </is>
      </c>
      <c r="B57" s="22" t="n">
        <v>676</v>
      </c>
      <c r="C57" s="22" t="n"/>
      <c r="D57" s="22" t="n"/>
      <c r="E57" s="22" t="n"/>
    </row>
    <row r="58">
      <c r="A58" s="43" t="inlineStr">
        <is>
          <t>2020-04</t>
        </is>
      </c>
      <c r="B58" s="21" t="n">
        <v>676</v>
      </c>
      <c r="C58" s="21" t="n"/>
      <c r="D58" s="21" t="n"/>
      <c r="E58" s="21" t="n"/>
    </row>
    <row r="59">
      <c r="A59" s="45" t="inlineStr">
        <is>
          <t>2020-05</t>
        </is>
      </c>
      <c r="B59" s="22" t="n">
        <v>676</v>
      </c>
      <c r="C59" s="22" t="n"/>
      <c r="D59" s="22" t="n"/>
      <c r="E59" s="22" t="n"/>
    </row>
    <row r="60">
      <c r="A60" s="43" t="inlineStr">
        <is>
          <t>2020-06</t>
        </is>
      </c>
      <c r="B60" s="21" t="n">
        <v>676</v>
      </c>
      <c r="C60" s="21" t="n"/>
      <c r="D60" s="21" t="n"/>
      <c r="E60" s="21" t="n"/>
    </row>
    <row r="61">
      <c r="A61" s="45" t="inlineStr">
        <is>
          <t>2020-07</t>
        </is>
      </c>
      <c r="B61" s="22" t="n">
        <v>676</v>
      </c>
      <c r="C61" s="22" t="n"/>
      <c r="D61" s="22" t="n"/>
      <c r="E61" s="22" t="n"/>
    </row>
    <row r="62">
      <c r="A62" s="43" t="inlineStr">
        <is>
          <t>2020-08</t>
        </is>
      </c>
      <c r="B62" s="21" t="n">
        <v>676</v>
      </c>
      <c r="C62" s="21" t="n"/>
      <c r="D62" s="21" t="n"/>
      <c r="E62" s="21" t="n"/>
    </row>
    <row r="63">
      <c r="A63" s="45" t="inlineStr">
        <is>
          <t>2020-09</t>
        </is>
      </c>
      <c r="B63" s="22" t="n">
        <v>676</v>
      </c>
      <c r="C63" s="22" t="n"/>
      <c r="D63" s="22" t="n"/>
      <c r="E63" s="22" t="n"/>
    </row>
    <row r="64">
      <c r="A64" s="43" t="inlineStr">
        <is>
          <t>2020-10</t>
        </is>
      </c>
      <c r="B64" s="21" t="n">
        <v>676</v>
      </c>
      <c r="C64" s="21" t="n"/>
      <c r="D64" s="21" t="n"/>
      <c r="E64" s="21" t="n"/>
    </row>
    <row r="65">
      <c r="A65" s="45" t="inlineStr">
        <is>
          <t>2020-11</t>
        </is>
      </c>
      <c r="B65" s="22" t="n">
        <v>676</v>
      </c>
      <c r="C65" s="22" t="n"/>
      <c r="D65" s="22" t="n"/>
      <c r="E65" s="22" t="n"/>
    </row>
    <row r="66">
      <c r="A66" s="43" t="inlineStr">
        <is>
          <t>2020-12</t>
        </is>
      </c>
      <c r="B66" s="21" t="n">
        <v>676</v>
      </c>
      <c r="C66" s="21" t="n"/>
      <c r="D66" s="21" t="n"/>
      <c r="E66" s="21" t="n"/>
    </row>
    <row r="67">
      <c r="A67" s="45" t="inlineStr">
        <is>
          <t>2021-01</t>
        </is>
      </c>
      <c r="B67" s="22" t="n">
        <v>676</v>
      </c>
      <c r="C67" s="22" t="n"/>
      <c r="D67" s="22" t="n"/>
      <c r="E67" s="22" t="n"/>
    </row>
    <row r="68">
      <c r="A68" s="43" t="inlineStr">
        <is>
          <t>2021-02</t>
        </is>
      </c>
      <c r="B68" s="21" t="n">
        <v>676</v>
      </c>
      <c r="C68" s="21" t="n"/>
      <c r="D68" s="21" t="n"/>
      <c r="E68" s="21" t="n"/>
    </row>
    <row r="69">
      <c r="A69" s="45" t="inlineStr">
        <is>
          <t>2021-03</t>
        </is>
      </c>
      <c r="B69" s="22" t="n">
        <v>676</v>
      </c>
      <c r="C69" s="22" t="n"/>
      <c r="D69" s="22" t="n"/>
      <c r="E69" s="22" t="n"/>
    </row>
    <row r="70">
      <c r="A70" s="43" t="inlineStr">
        <is>
          <t>2021-04</t>
        </is>
      </c>
      <c r="B70" s="21" t="n">
        <v>676</v>
      </c>
      <c r="C70" s="21" t="n"/>
      <c r="D70" s="21" t="n"/>
      <c r="E70" s="21" t="n"/>
    </row>
    <row r="71">
      <c r="A71" s="45" t="inlineStr">
        <is>
          <t>2021-05</t>
        </is>
      </c>
      <c r="B71" s="22" t="n">
        <v>676</v>
      </c>
      <c r="C71" s="22" t="n"/>
      <c r="D71" s="22" t="n"/>
      <c r="E71" s="22" t="n"/>
    </row>
    <row r="72">
      <c r="A72" s="43" t="inlineStr">
        <is>
          <t>2021-06</t>
        </is>
      </c>
      <c r="B72" s="21" t="n">
        <v>676</v>
      </c>
      <c r="C72" s="21" t="n">
        <v>1349.02</v>
      </c>
      <c r="D72" s="21" t="n"/>
      <c r="E72" s="21" t="n"/>
    </row>
    <row r="73">
      <c r="A73" s="45" t="inlineStr">
        <is>
          <t>2021-07</t>
        </is>
      </c>
      <c r="B73" s="22" t="n">
        <v>676</v>
      </c>
      <c r="C73" s="22" t="n">
        <v>1349.02</v>
      </c>
      <c r="D73" s="22" t="n"/>
      <c r="E73" s="22" t="n"/>
    </row>
    <row r="74">
      <c r="A74" s="43" t="inlineStr">
        <is>
          <t>2021-08</t>
        </is>
      </c>
      <c r="B74" s="21" t="n">
        <v>676</v>
      </c>
      <c r="C74" s="21" t="n">
        <v>1349.02</v>
      </c>
      <c r="D74" s="21" t="n"/>
      <c r="E74" s="21" t="n"/>
    </row>
    <row r="75">
      <c r="A75" s="45" t="inlineStr">
        <is>
          <t>2021-09</t>
        </is>
      </c>
      <c r="B75" s="22" t="n">
        <v>676</v>
      </c>
      <c r="C75" s="22" t="n">
        <v>1349.02</v>
      </c>
      <c r="D75" s="22" t="n"/>
      <c r="E75" s="22" t="n"/>
    </row>
    <row r="76">
      <c r="A76" s="43" t="inlineStr">
        <is>
          <t>2021-10</t>
        </is>
      </c>
      <c r="B76" s="21" t="n">
        <v>676</v>
      </c>
      <c r="C76" s="21" t="n">
        <v>1349.02</v>
      </c>
      <c r="D76" s="21" t="n"/>
      <c r="E76" s="21" t="n"/>
    </row>
    <row r="77">
      <c r="A77" s="45" t="inlineStr">
        <is>
          <t>2021-11</t>
        </is>
      </c>
      <c r="B77" s="22" t="n">
        <v>676</v>
      </c>
      <c r="C77" s="22" t="n">
        <v>1349.02</v>
      </c>
      <c r="D77" s="22" t="n"/>
      <c r="E77" s="22" t="n"/>
    </row>
    <row r="78">
      <c r="A78" s="43" t="inlineStr">
        <is>
          <t>2021-12</t>
        </is>
      </c>
      <c r="B78" s="21" t="n">
        <v>676</v>
      </c>
      <c r="C78" s="21" t="n">
        <v>1349.02</v>
      </c>
      <c r="D78" s="21" t="n"/>
      <c r="E78" s="21" t="n"/>
    </row>
    <row r="79">
      <c r="A79" s="45" t="inlineStr">
        <is>
          <t>2022-01</t>
        </is>
      </c>
      <c r="B79" s="22" t="n">
        <v>676</v>
      </c>
      <c r="C79" s="22" t="n">
        <v>1349.02</v>
      </c>
      <c r="D79" s="22" t="n"/>
      <c r="E79" s="22" t="n"/>
    </row>
    <row r="80">
      <c r="A80" s="43" t="inlineStr">
        <is>
          <t>2022-02</t>
        </is>
      </c>
      <c r="B80" s="21" t="n">
        <v>676</v>
      </c>
      <c r="C80" s="21" t="n">
        <v>1349.02</v>
      </c>
      <c r="D80" s="21" t="n"/>
      <c r="E80" s="21" t="n"/>
    </row>
    <row r="81">
      <c r="A81" s="45" t="inlineStr">
        <is>
          <t>2022-03</t>
        </is>
      </c>
      <c r="B81" s="22" t="n">
        <v>676</v>
      </c>
      <c r="C81" s="22" t="n">
        <v>1349.02</v>
      </c>
      <c r="D81" s="22" t="n"/>
      <c r="E81" s="22" t="n"/>
    </row>
    <row r="82">
      <c r="A82" s="43" t="inlineStr">
        <is>
          <t>2022-04</t>
        </is>
      </c>
      <c r="B82" s="21" t="n">
        <v>676</v>
      </c>
      <c r="C82" s="21" t="n">
        <v>1349.02</v>
      </c>
      <c r="D82" s="21" t="n"/>
      <c r="E82" s="21" t="n"/>
    </row>
    <row r="83">
      <c r="A83" s="45" t="inlineStr">
        <is>
          <t>2022-05</t>
        </is>
      </c>
      <c r="B83" s="22" t="n">
        <v>676</v>
      </c>
      <c r="C83" s="22" t="n">
        <v>1349.02</v>
      </c>
      <c r="D83" s="22" t="n">
        <v>974.33</v>
      </c>
      <c r="E83" s="22" t="n"/>
    </row>
    <row r="84">
      <c r="A84" s="43" t="inlineStr">
        <is>
          <t>2022-06</t>
        </is>
      </c>
      <c r="B84" s="21" t="n">
        <v>676</v>
      </c>
      <c r="C84" s="21" t="n">
        <v>1349.02</v>
      </c>
      <c r="D84" s="21" t="n">
        <v>974.33</v>
      </c>
      <c r="E84" s="21" t="n"/>
    </row>
    <row r="85">
      <c r="A85" s="45" t="inlineStr">
        <is>
          <t>2022-07</t>
        </is>
      </c>
      <c r="B85" s="22" t="n">
        <v>676</v>
      </c>
      <c r="C85" s="22" t="n">
        <v>1349.02</v>
      </c>
      <c r="D85" s="22" t="n">
        <v>974.33</v>
      </c>
      <c r="E85" s="22" t="n"/>
    </row>
    <row r="86">
      <c r="A86" s="43" t="inlineStr">
        <is>
          <t>2022-08</t>
        </is>
      </c>
      <c r="B86" s="21" t="n">
        <v>676</v>
      </c>
      <c r="C86" s="21" t="n">
        <v>1349.02</v>
      </c>
      <c r="D86" s="21" t="n">
        <v>974.33</v>
      </c>
      <c r="E86" s="21" t="n"/>
    </row>
    <row r="87">
      <c r="A87" s="45" t="inlineStr">
        <is>
          <t>2022-09</t>
        </is>
      </c>
      <c r="B87" s="22" t="n">
        <v>676</v>
      </c>
      <c r="C87" s="22" t="n">
        <v>1349.02</v>
      </c>
      <c r="D87" s="22" t="n">
        <v>974.33</v>
      </c>
      <c r="E87" s="22" t="n"/>
    </row>
    <row r="88">
      <c r="A88" s="43" t="inlineStr">
        <is>
          <t>2022-10</t>
        </is>
      </c>
      <c r="B88" s="21" t="n">
        <v>676</v>
      </c>
      <c r="C88" s="21" t="n">
        <v>1349.02</v>
      </c>
      <c r="D88" s="21" t="n">
        <v>974.33</v>
      </c>
      <c r="E88" s="21" t="n"/>
    </row>
    <row r="89">
      <c r="A89" s="45" t="inlineStr">
        <is>
          <t>2022-11</t>
        </is>
      </c>
      <c r="B89" s="22" t="n">
        <v>676</v>
      </c>
      <c r="C89" s="22" t="n">
        <v>1349.02</v>
      </c>
      <c r="D89" s="22" t="n">
        <v>974.33</v>
      </c>
      <c r="E89" s="22" t="n"/>
    </row>
    <row r="90">
      <c r="A90" s="43" t="inlineStr">
        <is>
          <t>2022-12</t>
        </is>
      </c>
      <c r="B90" s="21" t="n">
        <v>676</v>
      </c>
      <c r="C90" s="21" t="n">
        <v>1349.02</v>
      </c>
      <c r="D90" s="21" t="n">
        <v>974.33</v>
      </c>
      <c r="E90" s="21" t="n"/>
    </row>
    <row r="91">
      <c r="A91" s="45" t="inlineStr">
        <is>
          <t>2023-01</t>
        </is>
      </c>
      <c r="B91" s="22" t="n">
        <v>676</v>
      </c>
      <c r="C91" s="22" t="n">
        <v>1349.02</v>
      </c>
      <c r="D91" s="22" t="n">
        <v>974.33</v>
      </c>
      <c r="E91" s="22" t="n"/>
    </row>
    <row r="92">
      <c r="A92" s="43" t="inlineStr">
        <is>
          <t>2023-02</t>
        </is>
      </c>
      <c r="B92" s="21" t="n">
        <v>676</v>
      </c>
      <c r="C92" s="21" t="n">
        <v>1349.02</v>
      </c>
      <c r="D92" s="21" t="n">
        <v>974.33</v>
      </c>
      <c r="E92" s="21" t="n"/>
    </row>
    <row r="93">
      <c r="A93" s="45" t="inlineStr">
        <is>
          <t>2023-03</t>
        </is>
      </c>
      <c r="B93" s="22" t="n">
        <v>676</v>
      </c>
      <c r="C93" s="22" t="n">
        <v>1349.02</v>
      </c>
      <c r="D93" s="22" t="n">
        <v>974.33</v>
      </c>
      <c r="E93" s="22" t="n"/>
    </row>
    <row r="94">
      <c r="A94" s="43" t="inlineStr">
        <is>
          <t>2023-04</t>
        </is>
      </c>
      <c r="B94" s="21" t="n">
        <v>676</v>
      </c>
      <c r="C94" s="21" t="n">
        <v>1349.02</v>
      </c>
      <c r="D94" s="21" t="n">
        <v>974.33</v>
      </c>
      <c r="E94" s="21" t="n"/>
    </row>
    <row r="95">
      <c r="A95" s="45" t="inlineStr">
        <is>
          <t>2023-05</t>
        </is>
      </c>
      <c r="B95" s="22" t="n">
        <v>676</v>
      </c>
      <c r="C95" s="22" t="n">
        <v>1349.02</v>
      </c>
      <c r="D95" s="22" t="n">
        <v>974.33</v>
      </c>
      <c r="E95" s="22" t="n"/>
    </row>
    <row r="96">
      <c r="A96" s="43" t="inlineStr">
        <is>
          <t>2023-06</t>
        </is>
      </c>
      <c r="B96" s="21" t="n">
        <v>676</v>
      </c>
      <c r="C96" s="21" t="n">
        <v>1349.02</v>
      </c>
      <c r="D96" s="21" t="n">
        <v>974.33</v>
      </c>
      <c r="E96" s="21" t="n"/>
    </row>
    <row r="97">
      <c r="A97" s="45" t="inlineStr">
        <is>
          <t>2023-07</t>
        </is>
      </c>
      <c r="B97" s="22" t="n">
        <v>676</v>
      </c>
      <c r="C97" s="22" t="n">
        <v>1349.02</v>
      </c>
      <c r="D97" s="22" t="n">
        <v>974.33</v>
      </c>
      <c r="E97" s="22" t="n"/>
    </row>
    <row r="98">
      <c r="A98" s="43" t="inlineStr">
        <is>
          <t>2023-08</t>
        </is>
      </c>
      <c r="B98" s="21" t="n">
        <v>676</v>
      </c>
      <c r="C98" s="21" t="n">
        <v>1349.02</v>
      </c>
      <c r="D98" s="21" t="n">
        <v>974.33</v>
      </c>
      <c r="E98" s="21" t="n"/>
    </row>
    <row r="99">
      <c r="A99" s="45" t="inlineStr">
        <is>
          <t>2023-09</t>
        </is>
      </c>
      <c r="B99" s="22" t="n">
        <v>676</v>
      </c>
      <c r="C99" s="22" t="n">
        <v>1349.02</v>
      </c>
      <c r="D99" s="22" t="n">
        <v>974.33</v>
      </c>
      <c r="E99" s="22" t="n"/>
    </row>
    <row r="100">
      <c r="A100" s="43" t="inlineStr">
        <is>
          <t>2023-10</t>
        </is>
      </c>
      <c r="B100" s="21" t="n">
        <v>676</v>
      </c>
      <c r="C100" s="21" t="n">
        <v>1349.02</v>
      </c>
      <c r="D100" s="21" t="n">
        <v>974.33</v>
      </c>
      <c r="E100" s="21" t="n"/>
    </row>
    <row r="101">
      <c r="A101" s="45" t="inlineStr">
        <is>
          <t>2023-11</t>
        </is>
      </c>
      <c r="B101" s="22" t="n">
        <v>676</v>
      </c>
      <c r="C101" s="22" t="n">
        <v>1349.02</v>
      </c>
      <c r="D101" s="22" t="n">
        <v>974.33</v>
      </c>
      <c r="E101" s="22" t="n">
        <v>1059.87</v>
      </c>
    </row>
    <row r="102">
      <c r="A102" s="43" t="inlineStr">
        <is>
          <t>2023-12</t>
        </is>
      </c>
      <c r="B102" s="21" t="n">
        <v>676</v>
      </c>
      <c r="C102" s="21" t="n">
        <v>1349.02</v>
      </c>
      <c r="D102" s="21" t="n">
        <v>974.33</v>
      </c>
      <c r="E102" s="21" t="n">
        <v>1059.87</v>
      </c>
    </row>
    <row r="103">
      <c r="A103" s="45" t="inlineStr">
        <is>
          <t>2024-01</t>
        </is>
      </c>
      <c r="B103" s="22" t="n">
        <v>676</v>
      </c>
      <c r="C103" s="22" t="n">
        <v>1349.02</v>
      </c>
      <c r="D103" s="22" t="n">
        <v>974.33</v>
      </c>
      <c r="E103" s="22" t="n">
        <v>1059.87</v>
      </c>
    </row>
    <row r="104">
      <c r="A104" s="43" t="inlineStr">
        <is>
          <t>2024-02</t>
        </is>
      </c>
      <c r="B104" s="21" t="n">
        <v>676</v>
      </c>
      <c r="C104" s="21" t="n">
        <v>1349.02</v>
      </c>
      <c r="D104" s="21" t="n">
        <v>974.33</v>
      </c>
      <c r="E104" s="21" t="n">
        <v>1059.87</v>
      </c>
    </row>
    <row r="105">
      <c r="A105" s="45" t="inlineStr">
        <is>
          <t>2024-03</t>
        </is>
      </c>
      <c r="B105" s="22" t="n">
        <v>676</v>
      </c>
      <c r="C105" s="22" t="n">
        <v>1349.02</v>
      </c>
      <c r="D105" s="22" t="n">
        <v>974.33</v>
      </c>
      <c r="E105" s="22" t="n">
        <v>1059.87</v>
      </c>
    </row>
    <row r="106">
      <c r="A106" s="43" t="inlineStr">
        <is>
          <t>2024-04</t>
        </is>
      </c>
      <c r="B106" s="21" t="n">
        <v>676</v>
      </c>
      <c r="C106" s="21" t="n">
        <v>1349.02</v>
      </c>
      <c r="D106" s="21" t="n">
        <v>974.33</v>
      </c>
      <c r="E106" s="21" t="n">
        <v>1059.87</v>
      </c>
    </row>
    <row r="107">
      <c r="A107" s="45" t="inlineStr">
        <is>
          <t>2024-05</t>
        </is>
      </c>
      <c r="B107" s="22" t="n">
        <v>935.77</v>
      </c>
      <c r="C107" s="22" t="n">
        <v>1349.02</v>
      </c>
      <c r="D107" s="22" t="n">
        <v>1069.08</v>
      </c>
      <c r="E107" s="22" t="n">
        <v>1059.87</v>
      </c>
    </row>
    <row r="108">
      <c r="A108" s="43" t="inlineStr">
        <is>
          <t>2024-06</t>
        </is>
      </c>
      <c r="B108" s="21" t="n">
        <v>935.77</v>
      </c>
      <c r="C108" s="21" t="n">
        <v>1349.02</v>
      </c>
      <c r="D108" s="21" t="n">
        <v>1069.08</v>
      </c>
      <c r="E108" s="21" t="n">
        <v>1059.87</v>
      </c>
    </row>
    <row r="109">
      <c r="A109" s="45" t="inlineStr">
        <is>
          <t>2024-07</t>
        </is>
      </c>
      <c r="B109" s="22" t="n">
        <v>935.77</v>
      </c>
      <c r="C109" s="22" t="n">
        <v>1349.02</v>
      </c>
      <c r="D109" s="22" t="n">
        <v>1069.08</v>
      </c>
      <c r="E109" s="22" t="n">
        <v>1059.87</v>
      </c>
    </row>
    <row r="110">
      <c r="A110" s="43" t="inlineStr">
        <is>
          <t>2024-08</t>
        </is>
      </c>
      <c r="B110" s="21" t="n">
        <v>935.77</v>
      </c>
      <c r="C110" s="21" t="n">
        <v>1349.02</v>
      </c>
      <c r="D110" s="21" t="n">
        <v>1069.08</v>
      </c>
      <c r="E110" s="21" t="n">
        <v>1059.87</v>
      </c>
    </row>
    <row r="111">
      <c r="A111" s="45" t="inlineStr">
        <is>
          <t>2024-09</t>
        </is>
      </c>
      <c r="B111" s="22" t="n">
        <v>935.77</v>
      </c>
      <c r="C111" s="22" t="n">
        <v>1349.02</v>
      </c>
      <c r="D111" s="22" t="n">
        <v>1069.08</v>
      </c>
      <c r="E111" s="22" t="n">
        <v>1059.87</v>
      </c>
    </row>
    <row r="112">
      <c r="A112" s="43" t="inlineStr">
        <is>
          <t>2024-10</t>
        </is>
      </c>
      <c r="B112" s="21" t="n">
        <v>935.77</v>
      </c>
      <c r="C112" s="21" t="n">
        <v>1349.02</v>
      </c>
      <c r="D112" s="21" t="n">
        <v>1069.08</v>
      </c>
      <c r="E112" s="21" t="n">
        <v>1059.87</v>
      </c>
    </row>
    <row r="113">
      <c r="A113" s="45" t="inlineStr">
        <is>
          <t>2024-11</t>
        </is>
      </c>
      <c r="B113" s="22" t="n">
        <v>935.77</v>
      </c>
      <c r="C113" s="22" t="n">
        <v>1349.02</v>
      </c>
      <c r="D113" s="22" t="n">
        <v>1069.08</v>
      </c>
      <c r="E113" s="22" t="n">
        <v>1059.87</v>
      </c>
    </row>
    <row r="114">
      <c r="A114" s="43" t="inlineStr">
        <is>
          <t>2024-12</t>
        </is>
      </c>
      <c r="B114" s="21" t="n">
        <v>935.77</v>
      </c>
      <c r="C114" s="21" t="n">
        <v>1349.02</v>
      </c>
      <c r="D114" s="21" t="n">
        <v>1069.08</v>
      </c>
      <c r="E114" s="21" t="n">
        <v>1059.87</v>
      </c>
    </row>
    <row r="115">
      <c r="A115" s="45" t="inlineStr">
        <is>
          <t>2025-01</t>
        </is>
      </c>
      <c r="B115" s="22" t="n">
        <v>935.77</v>
      </c>
      <c r="C115" s="22" t="n">
        <v>1349.02</v>
      </c>
      <c r="D115" s="22" t="n">
        <v>1069.08</v>
      </c>
      <c r="E115" s="22" t="n">
        <v>1059.87</v>
      </c>
    </row>
    <row r="116">
      <c r="A116" s="43" t="inlineStr">
        <is>
          <t>2025-02</t>
        </is>
      </c>
      <c r="B116" s="21" t="n">
        <v>935.77</v>
      </c>
      <c r="C116" s="21" t="n">
        <v>1349.02</v>
      </c>
      <c r="D116" s="21" t="n">
        <v>1069.08</v>
      </c>
      <c r="E116" s="21" t="n">
        <v>1059.87</v>
      </c>
    </row>
    <row r="117">
      <c r="A117" s="45" t="inlineStr">
        <is>
          <t>2025-03</t>
        </is>
      </c>
      <c r="B117" s="22" t="n">
        <v>935.77</v>
      </c>
      <c r="C117" s="22" t="n">
        <v>1349.02</v>
      </c>
      <c r="D117" s="22" t="n">
        <v>1069.08</v>
      </c>
      <c r="E117" s="22" t="n">
        <v>1059.87</v>
      </c>
    </row>
    <row r="118">
      <c r="A118" s="43" t="inlineStr">
        <is>
          <t>2025-04</t>
        </is>
      </c>
      <c r="B118" s="21" t="n">
        <v>935.77</v>
      </c>
      <c r="C118" s="21" t="n">
        <v>1349.02</v>
      </c>
      <c r="D118" s="21" t="n">
        <v>1069.08</v>
      </c>
      <c r="E118" s="21" t="n">
        <v>1059.87</v>
      </c>
    </row>
    <row r="119">
      <c r="A119" s="45" t="inlineStr">
        <is>
          <t>2025-05</t>
        </is>
      </c>
      <c r="B119" s="22" t="n">
        <v>935.77</v>
      </c>
      <c r="C119" s="22" t="n">
        <v>1349.02</v>
      </c>
      <c r="D119" s="22" t="n">
        <v>1069.08</v>
      </c>
      <c r="E119" s="22" t="n">
        <v>1059.87</v>
      </c>
    </row>
    <row r="120">
      <c r="A120" s="43" t="inlineStr">
        <is>
          <t>2025-06</t>
        </is>
      </c>
      <c r="B120" s="21" t="n">
        <v>935.77</v>
      </c>
      <c r="C120" s="21" t="n">
        <v>1349.02</v>
      </c>
      <c r="D120" s="21" t="n">
        <v>1069.08</v>
      </c>
      <c r="E120" s="21" t="n">
        <v>1059.87</v>
      </c>
    </row>
    <row r="121">
      <c r="A121" s="45" t="inlineStr">
        <is>
          <t>2025-07</t>
        </is>
      </c>
      <c r="B121" s="22" t="n">
        <v>935.77</v>
      </c>
      <c r="C121" s="22" t="n">
        <v>1349.02</v>
      </c>
      <c r="D121" s="22" t="n">
        <v>1069.08</v>
      </c>
      <c r="E121" s="22" t="n">
        <v>1059.87</v>
      </c>
    </row>
    <row r="122">
      <c r="A122" s="43" t="inlineStr">
        <is>
          <t>2025-08</t>
        </is>
      </c>
      <c r="B122" s="21" t="n">
        <v>935.77</v>
      </c>
      <c r="C122" s="21" t="n">
        <v>1349.02</v>
      </c>
      <c r="D122" s="21" t="n">
        <v>1069.08</v>
      </c>
      <c r="E122" s="21" t="n">
        <v>1059.87</v>
      </c>
    </row>
    <row r="123">
      <c r="A123" s="45" t="inlineStr">
        <is>
          <t>2025-09</t>
        </is>
      </c>
      <c r="B123" s="22" t="n">
        <v>935.77</v>
      </c>
      <c r="C123" s="22" t="n">
        <v>1349.02</v>
      </c>
      <c r="D123" s="22" t="n">
        <v>1069.08</v>
      </c>
      <c r="E123" s="22" t="n">
        <v>1059.87</v>
      </c>
    </row>
    <row r="124">
      <c r="A124" s="43" t="inlineStr">
        <is>
          <t>2025-10</t>
        </is>
      </c>
      <c r="B124" s="21" t="n">
        <v>935.77</v>
      </c>
      <c r="C124" s="21" t="n">
        <v>1349.02</v>
      </c>
      <c r="D124" s="21" t="n">
        <v>1069.08</v>
      </c>
      <c r="E124" s="21" t="n">
        <v>1059.87</v>
      </c>
    </row>
    <row r="125">
      <c r="A125" s="45" t="inlineStr">
        <is>
          <t>2025-11</t>
        </is>
      </c>
      <c r="B125" s="22" t="n">
        <v>935.77</v>
      </c>
      <c r="C125" s="22" t="n">
        <v>1349.02</v>
      </c>
      <c r="D125" s="22" t="n">
        <v>1069.08</v>
      </c>
      <c r="E125" s="22" t="n">
        <v>1059.87</v>
      </c>
    </row>
    <row r="126">
      <c r="A126" s="43" t="inlineStr">
        <is>
          <t>2025-12</t>
        </is>
      </c>
      <c r="B126" s="21" t="n">
        <v>997.58</v>
      </c>
      <c r="C126" s="21" t="n">
        <v>1349.02</v>
      </c>
      <c r="D126" s="21" t="n">
        <v>1069.08</v>
      </c>
      <c r="E126" s="21" t="n">
        <v>1059.87</v>
      </c>
    </row>
    <row r="127">
      <c r="A127" s="45" t="inlineStr">
        <is>
          <t>2026-01</t>
        </is>
      </c>
      <c r="B127" s="22" t="n">
        <v>997.58</v>
      </c>
      <c r="C127" s="22" t="n">
        <v>1349.02</v>
      </c>
      <c r="D127" s="22" t="n">
        <v>1069.08</v>
      </c>
      <c r="E127" s="22" t="n">
        <v>1059.87</v>
      </c>
    </row>
    <row r="128">
      <c r="A128" s="43" t="inlineStr">
        <is>
          <t>2026-02</t>
        </is>
      </c>
      <c r="B128" s="21" t="n">
        <v>997.58</v>
      </c>
      <c r="C128" s="21" t="n">
        <v>1349.02</v>
      </c>
      <c r="D128" s="21" t="n">
        <v>1069.08</v>
      </c>
      <c r="E128" s="21" t="n">
        <v>1059.87</v>
      </c>
    </row>
    <row r="129">
      <c r="A129" s="45" t="inlineStr">
        <is>
          <t>2026-03</t>
        </is>
      </c>
      <c r="B129" s="22" t="n">
        <v>997.58</v>
      </c>
      <c r="C129" s="22" t="n">
        <v>1349.02</v>
      </c>
      <c r="D129" s="22" t="n">
        <v>1069.08</v>
      </c>
      <c r="E129" s="22" t="n">
        <v>1059.87</v>
      </c>
    </row>
    <row r="130">
      <c r="A130" s="43" t="inlineStr">
        <is>
          <t>2026-04</t>
        </is>
      </c>
      <c r="B130" s="21" t="n">
        <v>997.58</v>
      </c>
      <c r="C130" s="21" t="n">
        <v>1349.02</v>
      </c>
      <c r="D130" s="21" t="n">
        <v>1069.08</v>
      </c>
      <c r="E130" s="21" t="n">
        <v>1059.87</v>
      </c>
    </row>
    <row r="131">
      <c r="A131" s="45" t="inlineStr">
        <is>
          <t>2026-05</t>
        </is>
      </c>
      <c r="B131" s="22" t="n">
        <v>997.58</v>
      </c>
      <c r="C131" s="22" t="n">
        <v>1349.02</v>
      </c>
      <c r="D131" s="22" t="n">
        <v>1069.08</v>
      </c>
      <c r="E131" s="22" t="n">
        <v>1059.87</v>
      </c>
    </row>
    <row r="132">
      <c r="A132" s="43" t="inlineStr">
        <is>
          <t>2026-06</t>
        </is>
      </c>
      <c r="B132" s="21" t="n">
        <v>997.58</v>
      </c>
      <c r="C132" s="21" t="n">
        <v>1349.02</v>
      </c>
      <c r="D132" s="21" t="n">
        <v>1069.08</v>
      </c>
      <c r="E132" s="21" t="n">
        <v>1059.87</v>
      </c>
    </row>
    <row r="133">
      <c r="A133" s="45" t="inlineStr">
        <is>
          <t>2026-07</t>
        </is>
      </c>
      <c r="B133" s="22" t="n">
        <v>997.58</v>
      </c>
      <c r="C133" s="22" t="n">
        <v>1349.02</v>
      </c>
      <c r="D133" s="22" t="n">
        <v>1069.08</v>
      </c>
      <c r="E133" s="22" t="n">
        <v>1086.37</v>
      </c>
    </row>
    <row r="134">
      <c r="A134" s="43" t="inlineStr">
        <is>
          <t>2026-08</t>
        </is>
      </c>
      <c r="B134" s="21" t="n">
        <v>997.58</v>
      </c>
      <c r="C134" s="21" t="n">
        <v>1349.02</v>
      </c>
      <c r="D134" s="21" t="n">
        <v>1069.08</v>
      </c>
      <c r="E134" s="21" t="n">
        <v>1086.37</v>
      </c>
    </row>
    <row r="135">
      <c r="A135" s="45" t="inlineStr">
        <is>
          <t>2026-09</t>
        </is>
      </c>
      <c r="B135" s="22" t="n">
        <v>1027.51</v>
      </c>
      <c r="C135" s="22" t="n">
        <v>1349.02</v>
      </c>
      <c r="D135" s="22" t="n">
        <v>1112.16</v>
      </c>
      <c r="E135" s="22" t="n">
        <v>1086.37</v>
      </c>
    </row>
    <row r="136">
      <c r="A136" s="43" t="inlineStr">
        <is>
          <t>2026-10</t>
        </is>
      </c>
      <c r="B136" s="21" t="n">
        <v>1027.51</v>
      </c>
      <c r="C136" s="21" t="n">
        <v>1349.02</v>
      </c>
      <c r="D136" s="21" t="n">
        <v>1112.16</v>
      </c>
      <c r="E136" s="21" t="n">
        <v>1086.37</v>
      </c>
    </row>
    <row r="137">
      <c r="A137" s="45" t="inlineStr">
        <is>
          <t>2026-11</t>
        </is>
      </c>
      <c r="B137" s="22" t="n">
        <v>1027.51</v>
      </c>
      <c r="C137" s="22" t="n">
        <v>1349.02</v>
      </c>
      <c r="D137" s="22" t="n">
        <v>1112.16</v>
      </c>
      <c r="E137" s="22" t="n">
        <v>1086.37</v>
      </c>
    </row>
    <row r="138">
      <c r="A138" s="43" t="inlineStr">
        <is>
          <t>2026-12</t>
        </is>
      </c>
      <c r="B138" s="21" t="n">
        <v>1027.51</v>
      </c>
      <c r="C138" s="21" t="n">
        <v>1349.02</v>
      </c>
      <c r="D138" s="21" t="n">
        <v>1112.16</v>
      </c>
      <c r="E138" s="21" t="n">
        <v>1086.37</v>
      </c>
    </row>
    <row r="139">
      <c r="A139" s="45" t="inlineStr">
        <is>
          <t>2027-01</t>
        </is>
      </c>
      <c r="B139" s="22" t="n">
        <v>675</v>
      </c>
      <c r="C139" s="22" t="n">
        <v>675</v>
      </c>
      <c r="D139" s="22" t="n">
        <v>1112.16</v>
      </c>
      <c r="E139" s="22" t="n">
        <v>1086.37</v>
      </c>
    </row>
  </sheetData>
  <mergeCells count="2">
    <mergeCell ref="A1:K1"/>
    <mergeCell ref="A28:F28"/>
  </mergeCells>
  <pageMargins left="0.7" right="0.7" top="0.75" bottom="0.75" header="0.3" footer="0.3"/>
  <drawing xmlns:r="http://schemas.openxmlformats.org/officeDocument/2006/relationships" r:id="rId1"/>
  <drawing r:id="rIdDrw4"/>
</worksheet>
</file>

<file path=xl/worksheets/sheet9.xml><?xml version="1.0" encoding="utf-8"?>
<worksheet xmlns:r="http://schemas.openxmlformats.org/officeDocument/2006/relationships" xmlns="http://schemas.openxmlformats.org/spreadsheetml/2006/main">
  <sheetPr>
    <tabColor rgb="FF00A6C8"/>
    <outlinePr summaryBelow="1" summaryRight="1"/>
    <pageSetUpPr/>
  </sheetPr>
  <dimension ref="A1:I25"/>
  <sheetViews>
    <sheetView showGridLines="0" topLeftCell="C1" workbookViewId="0">
      <pane ySplit="4" topLeftCell="A5" activePane="bottomLeft" state="frozen"/>
      <selection pane="bottomLeft" activeCell="A19" sqref="A19:B19"/>
    </sheetView>
  </sheetViews>
  <sheetFormatPr baseColWidth="10" defaultColWidth="8.83203125" defaultRowHeight="14"/>
  <cols>
    <col width="13" customWidth="1" style="48" min="1" max="1"/>
    <col width="19.83203125" bestFit="1" customWidth="1" style="48" min="2" max="2"/>
    <col width="36" customWidth="1" style="48" min="3" max="3"/>
    <col width="18" customWidth="1" style="48" min="4" max="4"/>
    <col width="22" customWidth="1" style="48" min="5" max="5"/>
    <col width="36" customWidth="1" style="48" min="6" max="7"/>
    <col width="11" customWidth="1" style="48" min="8" max="8"/>
    <col width="24" customWidth="1" style="48" min="9" max="9"/>
    <col width="3" customWidth="1" style="48" min="10" max="10"/>
    <col width="12" customWidth="1" style="48" min="11" max="12"/>
  </cols>
  <sheetData>
    <row r="1" ht="30" customHeight="1" s="48">
      <c r="A1" s="37" t="inlineStr">
        <is>
          <t>Savings Cards &amp; Introductory Offers</t>
        </is>
      </c>
    </row>
    <row r="2" ht="34" customHeight="1" s="48">
      <c r="A2" s="38" t="inlineStr">
        <is>
          <t>Conditional patient-payment offers. These figures are neither WAC nor manufacturer net price; government-program beneficiaries are commonly excluded.</t>
        </is>
      </c>
    </row>
    <row r="4" ht="30" customHeight="1" s="48">
      <c r="A4" s="69" t="inlineStr">
        <is>
          <t>Date</t>
        </is>
      </c>
      <c r="B4" s="69" t="inlineStr">
        <is>
          <t>Product</t>
        </is>
      </c>
      <c r="C4" s="69" t="inlineStr">
        <is>
          <t>Eligibility</t>
        </is>
      </c>
      <c r="D4" s="69" t="inlineStr">
        <is>
          <t>Advertised minimum</t>
        </is>
      </c>
      <c r="E4" s="69" t="inlineStr">
        <is>
          <t>Unit</t>
        </is>
      </c>
      <c r="F4" s="69" t="inlineStr">
        <is>
          <t>Supply / limits</t>
        </is>
      </c>
      <c r="G4" s="69" t="inlineStr">
        <is>
          <t>Key exclusion</t>
        </is>
      </c>
      <c r="H4" s="69" t="inlineStr">
        <is>
          <t>Source</t>
        </is>
      </c>
      <c r="I4" s="69" t="inlineStr">
        <is>
          <t>Status</t>
        </is>
      </c>
    </row>
    <row r="5">
      <c r="A5" s="28" t="inlineStr">
        <is>
          <t>2023-11-08</t>
        </is>
      </c>
      <c r="B5" s="43" t="inlineStr">
        <is>
          <t>Zepbound</t>
        </is>
      </c>
      <c r="C5" s="43" t="inlineStr">
        <is>
          <t>Commercial insurance covers drug</t>
        </is>
      </c>
      <c r="D5" s="21" t="n">
        <v>25</v>
      </c>
      <c r="E5" s="43" t="inlineStr">
        <is>
          <t>USD minimum patient pay</t>
        </is>
      </c>
      <c r="F5" s="43" t="inlineStr">
        <is>
          <t>1- or 3-month supply; monthly/annual limits</t>
        </is>
      </c>
      <c r="G5" s="43" t="inlineStr">
        <is>
          <t>Government beneficiaries excluded</t>
        </is>
      </c>
      <c r="H5" s="43" t="inlineStr">
        <is>
          <t>S11</t>
        </is>
      </c>
      <c r="I5" s="43" t="inlineStr">
        <is>
          <t>Launch/current-style offer</t>
        </is>
      </c>
    </row>
    <row r="6">
      <c r="A6" s="29" t="inlineStr">
        <is>
          <t>2023-11-08</t>
        </is>
      </c>
      <c r="B6" s="45" t="inlineStr">
        <is>
          <t>Zepbound</t>
        </is>
      </c>
      <c r="C6" s="45" t="inlineStr">
        <is>
          <t>Commercial insurance does not cover drug</t>
        </is>
      </c>
      <c r="D6" s="22" t="n">
        <v>550</v>
      </c>
      <c r="E6" s="45" t="inlineStr">
        <is>
          <t>USD minimum patient pay</t>
        </is>
      </c>
      <c r="F6" s="45" t="inlineStr">
        <is>
          <t>One-month pen supply; original launch terms</t>
        </is>
      </c>
      <c r="G6" s="45" t="inlineStr">
        <is>
          <t>Government beneficiaries excluded</t>
        </is>
      </c>
      <c r="H6" s="45" t="inlineStr">
        <is>
          <t>S11</t>
        </is>
      </c>
      <c r="I6" s="45" t="inlineStr">
        <is>
          <t>Historical offer</t>
        </is>
      </c>
    </row>
    <row r="7" ht="26" customHeight="1" s="48">
      <c r="A7" s="28" t="inlineStr">
        <is>
          <t>2025-03-05</t>
        </is>
      </c>
      <c r="B7" s="43" t="inlineStr">
        <is>
          <t>Wegovy</t>
        </is>
      </c>
      <c r="C7" s="43" t="inlineStr">
        <is>
          <t>Commercial coverage</t>
        </is>
      </c>
      <c r="D7" s="21" t="n">
        <v>25</v>
      </c>
      <c r="E7" s="43" t="inlineStr">
        <is>
          <t>USD patient pay ceiling shown</t>
        </is>
      </c>
      <c r="F7" s="43" t="inlineStr">
        <is>
          <t>Novo reported 90% of covered users paid $0-$25</t>
        </is>
      </c>
      <c r="G7" s="43" t="inlineStr">
        <is>
          <t>Terms/coverage vary</t>
        </is>
      </c>
      <c r="H7" s="43" t="inlineStr">
        <is>
          <t>S14</t>
        </is>
      </c>
      <c r="I7" s="43" t="inlineStr">
        <is>
          <t>Public manufacturer statement</t>
        </is>
      </c>
    </row>
    <row r="8">
      <c r="A8" s="29" t="inlineStr">
        <is>
          <t>2025-11-17</t>
        </is>
      </c>
      <c r="B8" s="45" t="inlineStr">
        <is>
          <t>Wegovy</t>
        </is>
      </c>
      <c r="C8" s="45" t="inlineStr">
        <is>
          <t>New self-pay patients</t>
        </is>
      </c>
      <c r="D8" s="22" t="n">
        <v>199</v>
      </c>
      <c r="E8" s="45" t="inlineStr">
        <is>
          <t>USD per fill</t>
        </is>
      </c>
      <c r="F8" s="45" t="inlineStr">
        <is>
          <t>First two low-dose fills</t>
        </is>
      </c>
      <c r="G8" s="45" t="inlineStr">
        <is>
          <t>Temporary and eligibility-limited</t>
        </is>
      </c>
      <c r="H8" s="45" t="inlineStr">
        <is>
          <t>S15</t>
        </is>
      </c>
      <c r="I8" s="45" t="inlineStr">
        <is>
          <t>Introductory offer</t>
        </is>
      </c>
    </row>
    <row r="9">
      <c r="A9" s="28" t="inlineStr">
        <is>
          <t>2025-11-17</t>
        </is>
      </c>
      <c r="B9" s="43" t="inlineStr">
        <is>
          <t>Ozempic</t>
        </is>
      </c>
      <c r="C9" s="43" t="inlineStr">
        <is>
          <t>New self-pay patients</t>
        </is>
      </c>
      <c r="D9" s="21" t="n">
        <v>199</v>
      </c>
      <c r="E9" s="43" t="inlineStr">
        <is>
          <t>USD per fill</t>
        </is>
      </c>
      <c r="F9" s="43" t="inlineStr">
        <is>
          <t>First two low-dose fills</t>
        </is>
      </c>
      <c r="G9" s="43" t="inlineStr">
        <is>
          <t>Temporary and eligibility-limited</t>
        </is>
      </c>
      <c r="H9" s="43" t="inlineStr">
        <is>
          <t>S15</t>
        </is>
      </c>
      <c r="I9" s="43" t="inlineStr">
        <is>
          <t>Introductory offer</t>
        </is>
      </c>
    </row>
    <row r="10">
      <c r="A10" s="29" t="inlineStr">
        <is>
          <t>2026-01-05</t>
        </is>
      </c>
      <c r="B10" s="45" t="inlineStr">
        <is>
          <t>Wegovy tablets</t>
        </is>
      </c>
      <c r="C10" s="45" t="inlineStr">
        <is>
          <t>Commercial insurance</t>
        </is>
      </c>
      <c r="D10" s="22" t="n">
        <v>25</v>
      </c>
      <c r="E10" s="45" t="inlineStr">
        <is>
          <t>USD minimum patient pay</t>
        </is>
      </c>
      <c r="F10" s="45" t="inlineStr">
        <is>
          <t>Monthly fill</t>
        </is>
      </c>
      <c r="G10" s="45" t="inlineStr">
        <is>
          <t>Eligibility and terms apply</t>
        </is>
      </c>
      <c r="H10" s="45" t="inlineStr">
        <is>
          <t>S17</t>
        </is>
      </c>
      <c r="I10" s="45" t="inlineStr">
        <is>
          <t>Current public summary</t>
        </is>
      </c>
    </row>
    <row r="11">
      <c r="A11" s="28" t="inlineStr">
        <is>
          <t>2026-04-01</t>
        </is>
      </c>
      <c r="B11" s="43" t="inlineStr">
        <is>
          <t>Foundayo</t>
        </is>
      </c>
      <c r="C11" s="43" t="inlineStr">
        <is>
          <t>Commercial insurance</t>
        </is>
      </c>
      <c r="D11" s="21" t="n">
        <v>25</v>
      </c>
      <c r="E11" s="43" t="inlineStr">
        <is>
          <t>USD minimum patient pay</t>
        </is>
      </c>
      <c r="F11" s="43" t="inlineStr">
        <is>
          <t>Monthly fill</t>
        </is>
      </c>
      <c r="G11" s="43" t="inlineStr">
        <is>
          <t>Eligibility and terms apply</t>
        </is>
      </c>
      <c r="H11" s="43" t="inlineStr">
        <is>
          <t>S19</t>
        </is>
      </c>
      <c r="I11" s="43" t="inlineStr">
        <is>
          <t>Launch offer</t>
        </is>
      </c>
    </row>
    <row r="12">
      <c r="A12" s="29" t="inlineStr">
        <is>
          <t>2026-04-07</t>
        </is>
      </c>
      <c r="B12" s="45" t="inlineStr">
        <is>
          <t>Wegovy HD</t>
        </is>
      </c>
      <c r="C12" s="45" t="inlineStr">
        <is>
          <t>Commercial insurance</t>
        </is>
      </c>
      <c r="D12" s="22" t="n">
        <v>25</v>
      </c>
      <c r="E12" s="45" t="inlineStr">
        <is>
          <t>USD minimum patient pay</t>
        </is>
      </c>
      <c r="F12" s="45" t="inlineStr">
        <is>
          <t>Monthly fill</t>
        </is>
      </c>
      <c r="G12" s="45" t="inlineStr">
        <is>
          <t>Eligibility and terms apply</t>
        </is>
      </c>
      <c r="H12" s="45" t="inlineStr">
        <is>
          <t>S16</t>
        </is>
      </c>
      <c r="I12" s="45" t="inlineStr">
        <is>
          <t>Launch/current offer</t>
        </is>
      </c>
    </row>
    <row r="13" ht="26" customHeight="1" s="48">
      <c r="A13" s="28" t="inlineStr">
        <is>
          <t>2026-09-10</t>
        </is>
      </c>
      <c r="B13" s="43" t="inlineStr">
        <is>
          <t>Zepbound</t>
        </is>
      </c>
      <c r="C13" s="43" t="inlineStr">
        <is>
          <t>Commercial insurance covers drug</t>
        </is>
      </c>
      <c r="D13" s="21" t="n">
        <v>25</v>
      </c>
      <c r="E13" s="43" t="inlineStr">
        <is>
          <t>USD minimum patient pay</t>
        </is>
      </c>
      <c r="F13" s="43" t="inlineStr">
        <is>
          <t>1- or 3-month supply; 28-day month</t>
        </is>
      </c>
      <c r="G13" s="43" t="inlineStr">
        <is>
          <t>Government beneficiaries excluded; not insurance</t>
        </is>
      </c>
      <c r="H13" s="43" t="inlineStr">
        <is>
          <t>S08</t>
        </is>
      </c>
      <c r="I13" s="43" t="inlineStr">
        <is>
          <t>Current observed</t>
        </is>
      </c>
    </row>
    <row r="14" ht="26" customHeight="1" s="48">
      <c r="A14" s="29" t="inlineStr">
        <is>
          <t>2026-09-10</t>
        </is>
      </c>
      <c r="B14" s="45" t="inlineStr">
        <is>
          <t>Saxenda</t>
        </is>
      </c>
      <c r="C14" s="45" t="inlineStr">
        <is>
          <t>Eligible commercial coverage</t>
        </is>
      </c>
      <c r="D14" s="22" t="n">
        <v>25</v>
      </c>
      <c r="E14" s="45" t="inlineStr">
        <is>
          <t>USD minimum patient pay</t>
        </is>
      </c>
      <c r="F14" s="45" t="inlineStr">
        <is>
          <t>Or save up to $200 per prescription for up to 12 months</t>
        </is>
      </c>
      <c r="G14" s="45" t="inlineStr">
        <is>
          <t>Government-program restrictions apply</t>
        </is>
      </c>
      <c r="H14" s="45" t="inlineStr">
        <is>
          <t>S06</t>
        </is>
      </c>
      <c r="I14" s="45" t="inlineStr">
        <is>
          <t>Current observed</t>
        </is>
      </c>
    </row>
    <row r="15">
      <c r="A15" s="28" t="inlineStr">
        <is>
          <t>2026-09-10</t>
        </is>
      </c>
      <c r="B15" s="43" t="inlineStr">
        <is>
          <t>Victoza</t>
        </is>
      </c>
      <c r="C15" s="43" t="inlineStr">
        <is>
          <t>Eligible commercial coverage</t>
        </is>
      </c>
      <c r="D15" s="21" t="n">
        <v>25</v>
      </c>
      <c r="E15" s="43" t="inlineStr">
        <is>
          <t>USD minimum patient pay</t>
        </is>
      </c>
      <c r="F15" s="43" t="inlineStr">
        <is>
          <t>Offer terms and annual limits apply</t>
        </is>
      </c>
      <c r="G15" s="43" t="inlineStr">
        <is>
          <t>Government-program restrictions apply</t>
        </is>
      </c>
      <c r="H15" s="43" t="inlineStr">
        <is>
          <t>S05</t>
        </is>
      </c>
      <c r="I15" s="43" t="inlineStr">
        <is>
          <t>Current observed</t>
        </is>
      </c>
    </row>
    <row r="18" ht="22" customHeight="1" s="48">
      <c r="A18" s="39" t="inlineStr">
        <is>
          <t>Current / most recent advertised minimums</t>
        </is>
      </c>
    </row>
    <row r="19">
      <c r="A19" s="83" t="inlineStr">
        <is>
          <t>Product</t>
        </is>
      </c>
      <c r="B19" s="83" t="inlineStr">
        <is>
          <t>Minimum patient pay</t>
        </is>
      </c>
    </row>
    <row r="20">
      <c r="A20" t="inlineStr">
        <is>
          <t>Zepbound</t>
        </is>
      </c>
      <c r="B20" s="26" t="n">
        <v>25</v>
      </c>
    </row>
    <row r="21">
      <c r="A21" t="inlineStr">
        <is>
          <t>Wegovy / Wegovy HD</t>
        </is>
      </c>
      <c r="B21" s="26" t="n">
        <v>25</v>
      </c>
    </row>
    <row r="22">
      <c r="A22" t="inlineStr">
        <is>
          <t>Wegovy tablets</t>
        </is>
      </c>
      <c r="B22" s="26" t="n">
        <v>25</v>
      </c>
    </row>
    <row r="23">
      <c r="A23" t="inlineStr">
        <is>
          <t>Foundayo</t>
        </is>
      </c>
      <c r="B23" s="26" t="n">
        <v>25</v>
      </c>
    </row>
    <row r="24">
      <c r="A24" t="inlineStr">
        <is>
          <t>Saxenda</t>
        </is>
      </c>
      <c r="B24" s="26" t="n">
        <v>25</v>
      </c>
    </row>
    <row r="25">
      <c r="A25" t="inlineStr">
        <is>
          <t>Victoza</t>
        </is>
      </c>
      <c r="B25" s="26" t="n">
        <v>25</v>
      </c>
    </row>
  </sheetData>
  <mergeCells count="3">
    <mergeCell ref="A1:I1"/>
    <mergeCell ref="A18:D18"/>
    <mergeCell ref="A2:I2"/>
  </mergeCells>
  <pageMargins left="0.7" right="0.7" top="0.75" bottom="0.75" header="0.3" footer="0.3"/>
  <drawing xmlns:r="http://schemas.openxmlformats.org/officeDocument/2006/relationships" r:id="rId1"/>
  <drawing r:id="rIdDrw5"/>
</worksheet>
</file>

<file path=xl/worksheets/sheet10.xml><?xml version="1.0" encoding="utf-8"?>
<worksheet xmlns:r="http://schemas.openxmlformats.org/officeDocument/2006/relationships" xmlns="http://schemas.openxmlformats.org/spreadsheetml/2006/main">
  <sheetPr>
    <tabColor rgb="FF00A6C8"/>
    <outlinePr summaryBelow="1" summaryRight="1"/>
    <pageSetUpPr/>
  </sheetPr>
  <dimension ref="A1:I21"/>
  <sheetViews>
    <sheetView showGridLines="0" zoomScale="85" workbookViewId="0">
      <pane ySplit="4" topLeftCell="A5" activePane="bottomLeft" state="frozen"/>
      <selection pane="bottomLeft" activeCell="A15" sqref="A15:B15"/>
    </sheetView>
  </sheetViews>
  <sheetFormatPr baseColWidth="10" defaultColWidth="8.83203125" defaultRowHeight="14"/>
  <cols>
    <col width="24" customWidth="1" style="48" min="1" max="1"/>
    <col width="28" customWidth="1" style="48" min="2" max="3"/>
    <col width="27" customWidth="1" style="48" min="4" max="4"/>
    <col width="14" customWidth="1" style="48" min="5" max="5"/>
    <col width="21" customWidth="1" style="48" min="6" max="6"/>
    <col width="26" customWidth="1" style="48" min="7" max="7"/>
    <col width="60" customWidth="1" style="48" min="8" max="8"/>
    <col width="11" customWidth="1" style="48" min="9" max="9"/>
    <col width="3" customWidth="1" style="48" min="10" max="10"/>
    <col width="12" customWidth="1" style="48" min="11" max="12"/>
  </cols>
  <sheetData>
    <row r="1" ht="30" customHeight="1" s="48">
      <c r="A1" s="37" t="inlineStr">
        <is>
          <t>Government &amp; Medicare Price Events</t>
        </is>
      </c>
    </row>
    <row r="2" ht="34" customHeight="1" s="48">
      <c r="A2" s="38" t="inlineStr">
        <is>
          <t>Patient copay, government acquisition benchmark and Maximum Fair Price are different concepts. Status and eligibility are preserved row by row.</t>
        </is>
      </c>
    </row>
    <row r="4" ht="30" customHeight="1" s="48">
      <c r="A4" s="69" t="inlineStr">
        <is>
          <t>Effective date</t>
        </is>
      </c>
      <c r="B4" s="69" t="inlineStr">
        <is>
          <t>Program</t>
        </is>
      </c>
      <c r="C4" s="69" t="inlineStr">
        <is>
          <t>Product(s)</t>
        </is>
      </c>
      <c r="D4" s="69" t="inlineStr">
        <is>
          <t>Price concept</t>
        </is>
      </c>
      <c r="E4" s="69" t="inlineStr">
        <is>
          <t>Amount</t>
        </is>
      </c>
      <c r="F4" s="69" t="inlineStr">
        <is>
          <t>Unit</t>
        </is>
      </c>
      <c r="G4" s="69" t="inlineStr">
        <is>
          <t>Status</t>
        </is>
      </c>
      <c r="H4" s="69" t="inlineStr">
        <is>
          <t>Eligibility / interpretation</t>
        </is>
      </c>
      <c r="I4" s="69" t="inlineStr">
        <is>
          <t>Source</t>
        </is>
      </c>
    </row>
    <row r="5">
      <c r="A5" s="28" t="inlineStr">
        <is>
          <t>2025-11-06</t>
        </is>
      </c>
      <c r="B5" s="43" t="inlineStr">
        <is>
          <t>White House/MFN GLP-1 agreement</t>
        </is>
      </c>
      <c r="C5" s="43" t="inlineStr">
        <is>
          <t>Ozempic/Wegovy and Lilly GLP-1s</t>
        </is>
      </c>
      <c r="D5" s="43" t="inlineStr">
        <is>
          <t>Government acquisition benchmark</t>
        </is>
      </c>
      <c r="E5" s="21" t="n">
        <v>245</v>
      </c>
      <c r="F5" s="43" t="inlineStr">
        <is>
          <t>USD / month</t>
        </is>
      </c>
      <c r="G5" s="43" t="inlineStr">
        <is>
          <t>Announced/implementation varies</t>
        </is>
      </c>
      <c r="H5" s="43" t="inlineStr">
        <is>
          <t>Not the patient copay; distinct from IRA MFP</t>
        </is>
      </c>
      <c r="I5" s="43" t="inlineStr">
        <is>
          <t>S17</t>
        </is>
      </c>
    </row>
    <row r="6" ht="26" customHeight="1" s="48">
      <c r="A6" s="29" t="inlineStr">
        <is>
          <t>2026-07-01</t>
        </is>
      </c>
      <c r="B6" s="45" t="inlineStr">
        <is>
          <t>Medicare GLP-1 Bridge</t>
        </is>
      </c>
      <c r="C6" s="45" t="inlineStr">
        <is>
          <t>Wegovy injection/tablets</t>
        </is>
      </c>
      <c r="D6" s="45" t="inlineStr">
        <is>
          <t>Beneficiary copay (Medicare pays the remainder)</t>
        </is>
      </c>
      <c r="E6" s="22" t="n">
        <v>50</v>
      </c>
      <c r="F6" s="45" t="inlineStr">
        <is>
          <t>USD / month</t>
        </is>
      </c>
      <c r="G6" s="45" t="inlineStr">
        <is>
          <t>Effective through 2027-12-31</t>
        </is>
      </c>
      <c r="H6" s="45" t="inlineStr">
        <is>
          <t>Part D enrollment, prior authorization, clinical criteria; excludes already-covered indications</t>
        </is>
      </c>
      <c r="I6" s="45" t="inlineStr">
        <is>
          <t>S20</t>
        </is>
      </c>
    </row>
    <row r="7">
      <c r="A7" s="28" t="inlineStr">
        <is>
          <t>2026-07-01</t>
        </is>
      </c>
      <c r="B7" s="43" t="inlineStr">
        <is>
          <t>Medicare GLP-1 Bridge</t>
        </is>
      </c>
      <c r="C7" s="43" t="inlineStr">
        <is>
          <t>Zepbound KwikPen</t>
        </is>
      </c>
      <c r="D7" s="43" t="inlineStr">
        <is>
          <t>Beneficiary copay (Medicare pays the remainder)</t>
        </is>
      </c>
      <c r="E7" s="21" t="n">
        <v>50</v>
      </c>
      <c r="F7" s="43" t="inlineStr">
        <is>
          <t>USD / month</t>
        </is>
      </c>
      <c r="G7" s="43" t="inlineStr">
        <is>
          <t>Effective through 2027-12-31</t>
        </is>
      </c>
      <c r="H7" s="43" t="inlineStr">
        <is>
          <t>Weight-management criteria; not a guarantee of coverage</t>
        </is>
      </c>
      <c r="I7" s="43" t="inlineStr">
        <is>
          <t>S20</t>
        </is>
      </c>
    </row>
    <row r="8">
      <c r="A8" s="29" t="inlineStr">
        <is>
          <t>2026-07-01</t>
        </is>
      </c>
      <c r="B8" s="45" t="inlineStr">
        <is>
          <t>Medicare GLP-1 Bridge</t>
        </is>
      </c>
      <c r="C8" s="45" t="inlineStr">
        <is>
          <t>Foundayo tablets</t>
        </is>
      </c>
      <c r="D8" s="45" t="inlineStr">
        <is>
          <t>Beneficiary copay (Medicare pays the remainder)</t>
        </is>
      </c>
      <c r="E8" s="22" t="n">
        <v>50</v>
      </c>
      <c r="F8" s="45" t="inlineStr">
        <is>
          <t>USD / month</t>
        </is>
      </c>
      <c r="G8" s="45" t="inlineStr">
        <is>
          <t>Effective through 2027-12-31</t>
        </is>
      </c>
      <c r="H8" s="45" t="inlineStr">
        <is>
          <t>Weight-management criteria; not a guarantee of coverage</t>
        </is>
      </c>
      <c r="I8" s="45" t="inlineStr">
        <is>
          <t>S20</t>
        </is>
      </c>
    </row>
    <row r="9">
      <c r="A9" s="28" t="inlineStr">
        <is>
          <t>2027-01-01</t>
        </is>
      </c>
      <c r="B9" s="43" t="inlineStr">
        <is>
          <t>Medicare IRA negotiated price</t>
        </is>
      </c>
      <c r="C9" s="43" t="inlineStr">
        <is>
          <t>Ozempic</t>
        </is>
      </c>
      <c r="D9" s="43" t="inlineStr">
        <is>
          <t>Maximum Fair Price</t>
        </is>
      </c>
      <c r="E9" s="21" t="n">
        <v>274</v>
      </c>
      <c r="F9" s="43" t="inlineStr">
        <is>
          <t>USD / 30-day equivalent</t>
        </is>
      </c>
      <c r="G9" s="43" t="inlineStr">
        <is>
          <t>Announced; future effective</t>
        </is>
      </c>
      <c r="H9" s="43" t="inlineStr">
        <is>
          <t>For Medicare-covered indications; not necessarily beneficiary OOP</t>
        </is>
      </c>
      <c r="I9" s="43" t="inlineStr">
        <is>
          <t>S21</t>
        </is>
      </c>
    </row>
    <row r="10">
      <c r="A10" s="29" t="inlineStr">
        <is>
          <t>2027-01-01</t>
        </is>
      </c>
      <c r="B10" s="45" t="inlineStr">
        <is>
          <t>Medicare IRA negotiated price</t>
        </is>
      </c>
      <c r="C10" s="45" t="inlineStr">
        <is>
          <t>Rybelsus</t>
        </is>
      </c>
      <c r="D10" s="45" t="inlineStr">
        <is>
          <t>Maximum Fair Price</t>
        </is>
      </c>
      <c r="E10" s="22" t="n">
        <v>274</v>
      </c>
      <c r="F10" s="45" t="inlineStr">
        <is>
          <t>USD / 30-day equivalent</t>
        </is>
      </c>
      <c r="G10" s="45" t="inlineStr">
        <is>
          <t>Announced; future effective</t>
        </is>
      </c>
      <c r="H10" s="45" t="inlineStr">
        <is>
          <t>For Medicare-covered indications; not necessarily beneficiary OOP</t>
        </is>
      </c>
      <c r="I10" s="45" t="inlineStr">
        <is>
          <t>S21</t>
        </is>
      </c>
    </row>
    <row r="11">
      <c r="A11" s="28" t="inlineStr">
        <is>
          <t>2027-01-01</t>
        </is>
      </c>
      <c r="B11" s="43" t="inlineStr">
        <is>
          <t>Medicare IRA negotiated price</t>
        </is>
      </c>
      <c r="C11" s="43" t="inlineStr">
        <is>
          <t>Wegovy</t>
        </is>
      </c>
      <c r="D11" s="43" t="inlineStr">
        <is>
          <t>Maximum Fair Price</t>
        </is>
      </c>
      <c r="E11" s="21" t="n">
        <v>385</v>
      </c>
      <c r="F11" s="43" t="inlineStr">
        <is>
          <t>USD / 30-day equivalent</t>
        </is>
      </c>
      <c r="G11" s="43" t="inlineStr">
        <is>
          <t>Announced; future effective</t>
        </is>
      </c>
      <c r="H11" s="43" t="inlineStr">
        <is>
          <t>Public reporting varies by dosage-equivalent presentation; see source</t>
        </is>
      </c>
      <c r="I11" s="43" t="inlineStr">
        <is>
          <t>S21</t>
        </is>
      </c>
    </row>
    <row r="12">
      <c r="A12" s="29" t="inlineStr">
        <is>
          <t>2026-07-01</t>
        </is>
      </c>
      <c r="B12" s="45" t="inlineStr">
        <is>
          <t>Medicare GLP-1 Bridge</t>
        </is>
      </c>
      <c r="C12" s="45" t="inlineStr">
        <is>
          <t>All Bridge drugs</t>
        </is>
      </c>
      <c r="D12" s="45" t="inlineStr">
        <is>
          <t>Net price to manufacturer</t>
        </is>
      </c>
      <c r="E12" s="22" t="n">
        <v>245</v>
      </c>
      <c r="F12" s="45" t="inlineStr">
        <is>
          <t>USD / month</t>
        </is>
      </c>
      <c r="G12" s="45" t="inlineStr">
        <is>
          <t>Effective through 2027-12-31</t>
        </is>
      </c>
      <c r="H12" s="45" t="inlineStr">
        <is>
          <t>Same $245 as the federal agreements; pharmacies are paid by a CMS central processor</t>
        </is>
      </c>
      <c r="I12" s="45" t="inlineStr">
        <is>
          <t>S28, S29</t>
        </is>
      </c>
    </row>
    <row r="13">
      <c r="A13" s="28" t="inlineStr">
        <is>
          <t>2026-07-01</t>
        </is>
      </c>
      <c r="B13" s="43" t="inlineStr">
        <is>
          <t>Medicare GLP-1 Bridge</t>
        </is>
      </c>
      <c r="C13" s="43" t="inlineStr">
        <is>
          <t>All Bridge drugs</t>
        </is>
      </c>
      <c r="D13" s="43" t="inlineStr">
        <is>
          <t>Medicare-paid share (federal subsidy)</t>
        </is>
      </c>
      <c r="E13" s="21" t="n">
        <v>195</v>
      </c>
      <c r="F13" s="43" t="inlineStr">
        <is>
          <t>USD / month</t>
        </is>
      </c>
      <c r="G13" s="43" t="inlineStr">
        <is>
          <t>Effective through 2027-12-31</t>
        </is>
      </c>
      <c r="H13" s="43" t="inlineStr">
        <is>
          <t>Derived: $245 net price less the $50 beneficiary copay</t>
        </is>
      </c>
      <c r="I13" s="43" t="inlineStr">
        <is>
          <t>S29</t>
        </is>
      </c>
    </row>
    <row r="15">
      <c r="A15" s="70" t="inlineStr">
        <is>
          <t>Program / product</t>
        </is>
      </c>
      <c r="B15" s="70" t="inlineStr">
        <is>
          <t>Amount</t>
        </is>
      </c>
    </row>
    <row r="16">
      <c r="A16" t="inlineStr">
        <is>
          <t>Bridge beneficiary copay</t>
        </is>
      </c>
      <c r="B16" s="26" t="n">
        <v>50</v>
      </c>
    </row>
    <row r="17">
      <c r="A17" t="inlineStr">
        <is>
          <t>MFN acquisition benchmark</t>
        </is>
      </c>
      <c r="B17" s="26" t="n">
        <v>245</v>
      </c>
    </row>
    <row r="18">
      <c r="A18" t="inlineStr">
        <is>
          <t>2027 MFP Ozempic/Rybelsus</t>
        </is>
      </c>
      <c r="B18" s="26" t="n">
        <v>274</v>
      </c>
    </row>
    <row r="19">
      <c r="A19" t="inlineStr">
        <is>
          <t>2027 MFP Wegovy</t>
        </is>
      </c>
      <c r="B19" s="26" t="n">
        <v>385</v>
      </c>
    </row>
    <row r="20">
      <c r="A20" t="inlineStr">
        <is>
          <t>Bridge Medicare-paid share</t>
        </is>
      </c>
      <c r="B20" s="26" t="n">
        <v>195</v>
      </c>
    </row>
    <row r="21">
      <c r="A21" t="inlineStr">
        <is>
          <t>Bridge net price (= MFN)</t>
        </is>
      </c>
      <c r="B21" s="26" t="n">
        <v>245</v>
      </c>
    </row>
  </sheetData>
  <mergeCells count="2">
    <mergeCell ref="A1:I1"/>
    <mergeCell ref="A2:I2"/>
  </mergeCells>
  <pageMargins left="0.7" right="0.7" top="0.75" bottom="0.75" header="0.3" footer="0.3"/>
  <drawing xmlns:r="http://schemas.openxmlformats.org/officeDocument/2006/relationships" r:id="rId1"/>
  <drawing r:id="rIdDrw6"/>
</worksheet>
</file>

<file path=xl/worksheets/sheet11.xml><?xml version="1.0" encoding="utf-8"?>
<worksheet xmlns:r="http://schemas.openxmlformats.org/officeDocument/2006/relationships" xmlns="http://schemas.openxmlformats.org/spreadsheetml/2006/main">
  <sheetPr>
    <tabColor rgb="FF00A6C8"/>
    <outlinePr summaryBelow="1" summaryRight="1"/>
    <pageSetUpPr/>
  </sheetPr>
  <dimension ref="A1:H24"/>
  <sheetViews>
    <sheetView showGridLines="0" topLeftCell="E1" workbookViewId="0">
      <pane ySplit="4" topLeftCell="A5" activePane="bottomLeft" state="frozen"/>
      <selection pane="bottomLeft" activeCell="A24" sqref="A24"/>
    </sheetView>
  </sheetViews>
  <sheetFormatPr baseColWidth="10" defaultColWidth="8.83203125" defaultRowHeight="14"/>
  <cols>
    <col width="38" customWidth="1" style="48" min="1" max="1"/>
    <col width="20" customWidth="1" style="48" min="2" max="2"/>
    <col width="34" customWidth="1" style="48" min="3" max="3"/>
    <col width="26" customWidth="1" style="48" min="4" max="4"/>
    <col width="68" customWidth="1" style="48" min="5" max="5"/>
    <col width="17" customWidth="1" style="48" min="6" max="6"/>
    <col width="11" customWidth="1" style="48" min="7" max="7"/>
    <col width="30" customWidth="1" style="48" min="8" max="8"/>
    <col width="3" customWidth="1" style="48" min="9" max="9"/>
    <col width="12" customWidth="1" style="48" min="10" max="12"/>
  </cols>
  <sheetData>
    <row r="1" ht="30" customHeight="1" s="48">
      <c r="A1" s="37" t="inlineStr">
        <is>
          <t>Company Statements &amp; Realized-Price Evidence</t>
        </is>
      </c>
    </row>
    <row r="2" ht="34" customHeight="1" s="48">
      <c r="A2" s="38" t="inlineStr">
        <is>
          <t>Public statements supporting the opinion-piece themes: patented-drug competition, direct channels, intermediary economics, access and realized-price pressure.</t>
        </is>
      </c>
    </row>
    <row r="4" ht="30" customHeight="1" s="48">
      <c r="A4" s="69" t="inlineStr">
        <is>
          <t>Date/period</t>
        </is>
      </c>
      <c r="B4" s="69" t="inlineStr">
        <is>
          <t>Speaker / entity</t>
        </is>
      </c>
      <c r="C4" s="69" t="inlineStr">
        <is>
          <t>Statement / metric</t>
        </is>
      </c>
      <c r="D4" s="69" t="inlineStr">
        <is>
          <t>Theme</t>
        </is>
      </c>
      <c r="E4" s="69" t="inlineStr">
        <is>
          <t>What it means</t>
        </is>
      </c>
      <c r="F4" s="69" t="inlineStr">
        <is>
          <t>Numeric value</t>
        </is>
      </c>
      <c r="G4" s="69" t="inlineStr">
        <is>
          <t>Source</t>
        </is>
      </c>
      <c r="H4" s="69" t="inlineStr">
        <is>
          <t>Evidence status</t>
        </is>
      </c>
    </row>
    <row r="5" ht="26" customHeight="1" s="48">
      <c r="A5" s="43" t="inlineStr">
        <is>
          <t>2024-01-04</t>
        </is>
      </c>
      <c r="B5" s="43" t="inlineStr">
        <is>
          <t>Eli Lilly</t>
        </is>
      </c>
      <c r="C5" s="43" t="inlineStr">
        <is>
          <t>LillyDirect channel launch</t>
        </is>
      </c>
      <c r="D5" s="43" t="inlineStr">
        <is>
          <t>Direct distribution/access</t>
        </is>
      </c>
      <c r="E5" s="43" t="inlineStr">
        <is>
          <t>Built direct access and navigation for patients; public communications emphasized convenience, legitimate product and access.</t>
        </is>
      </c>
      <c r="F5" s="23" t="inlineStr">
        <is>
          <t>Qualitative</t>
        </is>
      </c>
      <c r="G5" s="43" t="inlineStr">
        <is>
          <t>S01</t>
        </is>
      </c>
      <c r="H5" s="43" t="inlineStr">
        <is>
          <t>Research synthesis</t>
        </is>
      </c>
    </row>
    <row r="6">
      <c r="A6" s="45" t="inlineStr">
        <is>
          <t>2024-05-28</t>
        </is>
      </c>
      <c r="B6" s="45" t="inlineStr">
        <is>
          <t>Novo Nordisk</t>
        </is>
      </c>
      <c r="C6" s="45" t="inlineStr">
        <is>
          <t>Retained share of list price</t>
        </is>
      </c>
      <c r="D6" s="45" t="inlineStr">
        <is>
          <t>Gross-to-net / intermediaries</t>
        </is>
      </c>
      <c r="E6" s="45" t="inlineStr">
        <is>
          <t>Novo said it retained about 60% of list price after rebates and fees to intermediaries.</t>
        </is>
      </c>
      <c r="F6" s="24" t="n">
        <v>0.6</v>
      </c>
      <c r="G6" s="45" t="inlineStr">
        <is>
          <t>S22</t>
        </is>
      </c>
      <c r="H6" s="45" t="inlineStr">
        <is>
          <t>Public statement</t>
        </is>
      </c>
    </row>
    <row r="7" ht="26" customHeight="1" s="48">
      <c r="A7" s="43" t="inlineStr">
        <is>
          <t>2024-08-27</t>
        </is>
      </c>
      <c r="B7" s="43" t="inlineStr">
        <is>
          <t>Eli Lilly</t>
        </is>
      </c>
      <c r="C7" s="43" t="inlineStr">
        <is>
          <t>Zepbound vial launch rationale</t>
        </is>
      </c>
      <c r="D7" s="43" t="inlineStr">
        <is>
          <t>Supply/device economics</t>
        </is>
      </c>
      <c r="E7" s="43" t="inlineStr">
        <is>
          <t>Vials eliminated the autoinjector step, increased supply and created lower-price access through LillyDirect.</t>
        </is>
      </c>
      <c r="F7" s="23" t="inlineStr">
        <is>
          <t>Qualitative</t>
        </is>
      </c>
      <c r="G7" s="43" t="inlineStr">
        <is>
          <t>S12</t>
        </is>
      </c>
      <c r="H7" s="43" t="inlineStr">
        <is>
          <t>Public announcement/report</t>
        </is>
      </c>
    </row>
    <row r="8" ht="26" customHeight="1" s="48">
      <c r="A8" s="45" t="inlineStr">
        <is>
          <t>2025-02-25</t>
        </is>
      </c>
      <c r="B8" s="45" t="inlineStr">
        <is>
          <t>Eli Lilly</t>
        </is>
      </c>
      <c r="C8" s="45" t="inlineStr">
        <is>
          <t>Cash channel rationale</t>
        </is>
      </c>
      <c r="D8" s="45" t="inlineStr">
        <is>
          <t>Middlemen / transparency</t>
        </is>
      </c>
      <c r="E8" s="45" t="inlineStr">
        <is>
          <t>Lilly described direct savings and removal of third-party supply-chain entities; refill-linked pricing also supports persistence.</t>
        </is>
      </c>
      <c r="F8" s="24" t="inlineStr">
        <is>
          <t>Qualitative</t>
        </is>
      </c>
      <c r="G8" s="45" t="inlineStr">
        <is>
          <t>S01</t>
        </is>
      </c>
      <c r="H8" s="45" t="inlineStr">
        <is>
          <t>Research synthesis; underlying public announcements</t>
        </is>
      </c>
    </row>
    <row r="9" ht="26" customHeight="1" s="48">
      <c r="A9" s="43" t="inlineStr">
        <is>
          <t>2025-07-05</t>
        </is>
      </c>
      <c r="B9" s="43" t="inlineStr">
        <is>
          <t>CVS Caremark / Lilly</t>
        </is>
      </c>
      <c r="C9" s="43" t="inlineStr">
        <is>
          <t>Single-product formulary shift</t>
        </is>
      </c>
      <c r="D9" s="43" t="inlineStr">
        <is>
          <t>Formulary competition</t>
        </is>
      </c>
      <c r="E9" s="43" t="inlineStr">
        <is>
          <t>Affected patients could switch products, seek a medical exception, or buy Zepbound through the cash channel.</t>
        </is>
      </c>
      <c r="F9" s="23" t="inlineStr">
        <is>
          <t>Qualitative</t>
        </is>
      </c>
      <c r="G9" s="43" t="inlineStr">
        <is>
          <t>S01</t>
        </is>
      </c>
      <c r="H9" s="43" t="inlineStr">
        <is>
          <t>Research-provided public-call point</t>
        </is>
      </c>
    </row>
    <row r="10" ht="26" customHeight="1" s="48">
      <c r="A10" s="45" t="inlineStr">
        <is>
          <t>2025-12-01</t>
        </is>
      </c>
      <c r="B10" s="45" t="inlineStr">
        <is>
          <t>Eli Lilly</t>
        </is>
      </c>
      <c r="C10" s="45" t="inlineStr">
        <is>
          <t>Zepbound price cut</t>
        </is>
      </c>
      <c r="D10" s="45" t="inlineStr">
        <is>
          <t>Access / competition</t>
        </is>
      </c>
      <c r="E10" s="45" t="inlineStr">
        <is>
          <t>Lilly cited cost and coverage barriers; the channel also competed with compounded alternatives as shortages wound down.</t>
        </is>
      </c>
      <c r="F10" s="24" t="inlineStr">
        <is>
          <t>Qualitative</t>
        </is>
      </c>
      <c r="G10" s="45" t="inlineStr">
        <is>
          <t>S13</t>
        </is>
      </c>
      <c r="H10" s="45" t="inlineStr">
        <is>
          <t>Public announcement/report</t>
        </is>
      </c>
    </row>
    <row r="11">
      <c r="A11" s="43" t="inlineStr">
        <is>
          <t>2026-Q2</t>
        </is>
      </c>
      <c r="B11" s="43" t="inlineStr">
        <is>
          <t>Eli Lilly</t>
        </is>
      </c>
      <c r="C11" s="43" t="inlineStr">
        <is>
          <t>Zepbound self-pay share — all prescriptions</t>
        </is>
      </c>
      <c r="D11" s="43" t="inlineStr">
        <is>
          <t>Channel mix</t>
        </is>
      </c>
      <c r="E11" s="43" t="inlineStr">
        <is>
          <t>Approximate share reported in uploaded research.</t>
        </is>
      </c>
      <c r="F11" s="23" t="n">
        <v>0.45</v>
      </c>
      <c r="G11" s="43" t="inlineStr">
        <is>
          <t>S01</t>
        </is>
      </c>
      <c r="H11" s="43" t="inlineStr">
        <is>
          <t>Research-provided call metric</t>
        </is>
      </c>
    </row>
    <row r="12">
      <c r="A12" s="45" t="inlineStr">
        <is>
          <t>2026-Q2</t>
        </is>
      </c>
      <c r="B12" s="45" t="inlineStr">
        <is>
          <t>Eli Lilly</t>
        </is>
      </c>
      <c r="C12" s="45" t="inlineStr">
        <is>
          <t>Zepbound self-pay share — new prescriptions</t>
        </is>
      </c>
      <c r="D12" s="45" t="inlineStr">
        <is>
          <t>Channel mix</t>
        </is>
      </c>
      <c r="E12" s="45" t="inlineStr">
        <is>
          <t>Approximate share reported in uploaded research.</t>
        </is>
      </c>
      <c r="F12" s="24" t="n">
        <v>0.55</v>
      </c>
      <c r="G12" s="45" t="inlineStr">
        <is>
          <t>S01</t>
        </is>
      </c>
      <c r="H12" s="45" t="inlineStr">
        <is>
          <t>Research-provided call metric</t>
        </is>
      </c>
    </row>
    <row r="13" ht="26" customHeight="1" s="48">
      <c r="A13" s="43" t="inlineStr">
        <is>
          <t>2026-Q2</t>
        </is>
      </c>
      <c r="B13" s="43" t="inlineStr">
        <is>
          <t>Eli Lilly</t>
        </is>
      </c>
      <c r="C13" s="43" t="inlineStr">
        <is>
          <t>U.S. realized price decline</t>
        </is>
      </c>
      <c r="D13" s="43" t="inlineStr">
        <is>
          <t>Realized price</t>
        </is>
      </c>
      <c r="E13" s="43" t="inlineStr">
        <is>
          <t>Realized price means revenue recognized after relevant rebates/discounts; not WAC and not patient cash price.</t>
        </is>
      </c>
      <c r="F13" s="23" t="n">
        <v>-0.03</v>
      </c>
      <c r="G13" s="43" t="inlineStr">
        <is>
          <t>S01</t>
        </is>
      </c>
      <c r="H13" s="43" t="inlineStr">
        <is>
          <t>Research-provided call metric</t>
        </is>
      </c>
    </row>
    <row r="14" ht="26" customHeight="1" s="48">
      <c r="A14" s="45" t="inlineStr">
        <is>
          <t>2026-Q2</t>
        </is>
      </c>
      <c r="B14" s="45" t="inlineStr">
        <is>
          <t>Eli Lilly</t>
        </is>
      </c>
      <c r="C14" s="45" t="inlineStr">
        <is>
          <t>U.S. realized price decline excluding prior rebate-estimate changes</t>
        </is>
      </c>
      <c r="D14" s="45" t="inlineStr">
        <is>
          <t>Realized price</t>
        </is>
      </c>
      <c r="E14" s="45" t="inlineStr">
        <is>
          <t>Approximate decline excluding changes to prior rebate estimates.</t>
        </is>
      </c>
      <c r="F14" s="24" t="n">
        <v>-0.09</v>
      </c>
      <c r="G14" s="45" t="inlineStr">
        <is>
          <t>S01</t>
        </is>
      </c>
      <c r="H14" s="45" t="inlineStr">
        <is>
          <t>Research-provided call metric</t>
        </is>
      </c>
    </row>
    <row r="15" ht="26" customHeight="1" s="48">
      <c r="A15" s="43" t="inlineStr">
        <is>
          <t>2026-Q2</t>
        </is>
      </c>
      <c r="B15" s="43" t="inlineStr">
        <is>
          <t>Eli Lilly / Evercore</t>
        </is>
      </c>
      <c r="C15" s="43" t="inlineStr">
        <is>
          <t>$580 analyst estimate challenged</t>
        </is>
      </c>
      <c r="D15" s="43" t="inlineStr">
        <is>
          <t>Net price inference</t>
        </is>
      </c>
      <c r="E15" s="43" t="inlineStr">
        <is>
          <t>Evercore estimated $580 net revenue per prescription; Lilly CFO said package-size differences distorted the calculation and gave no corrected figure.</t>
        </is>
      </c>
      <c r="F15" s="23" t="inlineStr">
        <is>
          <t>Not charted</t>
        </is>
      </c>
      <c r="G15" s="43" t="inlineStr">
        <is>
          <t>S01</t>
        </is>
      </c>
      <c r="H15" s="43" t="inlineStr">
        <is>
          <t>Do not treat $580 as disclosed realized price</t>
        </is>
      </c>
    </row>
    <row r="16" ht="26" customHeight="1" s="48">
      <c r="A16" s="45" t="inlineStr">
        <is>
          <t>2026-07-01</t>
        </is>
      </c>
      <c r="B16" s="45" t="inlineStr">
        <is>
          <t>CMS / Lilly</t>
        </is>
      </c>
      <c r="C16" s="45" t="inlineStr">
        <is>
          <t>Bridge launch and new-to-treatment share</t>
        </is>
      </c>
      <c r="D16" s="45" t="inlineStr">
        <is>
          <t>Government access</t>
        </is>
      </c>
      <c r="E16" s="45" t="inlineStr">
        <is>
          <t>Research note reports $50 beneficiary copay (Medicare-subsidized) and Lilly estimate that 60%-70% of Bridge patients were new to treatment.</t>
        </is>
      </c>
      <c r="F16" s="24" t="inlineStr">
        <is>
          <t>60%-70%</t>
        </is>
      </c>
      <c r="G16" s="45" t="inlineStr">
        <is>
          <t>S01</t>
        </is>
      </c>
      <c r="H16" s="45" t="inlineStr">
        <is>
          <t>Bridge price independently public; uptake range research-provided</t>
        </is>
      </c>
    </row>
    <row r="19" ht="22" customHeight="1" s="48">
      <c r="A19" s="39" t="inlineStr">
        <is>
          <t>Selected numeric evidence</t>
        </is>
      </c>
    </row>
    <row r="20">
      <c r="A20" s="70" t="inlineStr">
        <is>
          <t>Metric</t>
        </is>
      </c>
      <c r="B20" s="70" t="inlineStr">
        <is>
          <t>Percent</t>
        </is>
      </c>
      <c r="C20" s="49" t="n"/>
    </row>
    <row r="21">
      <c r="A21" t="inlineStr">
        <is>
          <t>Novo retained share of list after rebates/fees</t>
        </is>
      </c>
      <c r="B21" s="30" t="n">
        <v>0.6</v>
      </c>
    </row>
    <row r="22">
      <c r="A22" t="inlineStr">
        <is>
          <t>Zepbound self-pay share- all Rx</t>
        </is>
      </c>
      <c r="B22" s="30" t="n">
        <v>0.45</v>
      </c>
    </row>
    <row r="23">
      <c r="A23" t="inlineStr">
        <is>
          <t>Zepbound self-pay share - new Rx</t>
        </is>
      </c>
      <c r="B23" s="30" t="n">
        <v>0.55</v>
      </c>
    </row>
    <row r="24">
      <c r="A24" t="inlineStr">
        <is>
          <t>Lilly realized-price decline excl. prior-estimate changes</t>
        </is>
      </c>
      <c r="B24" s="30" t="n">
        <v>-0.09</v>
      </c>
    </row>
  </sheetData>
  <mergeCells count="3">
    <mergeCell ref="A2:H2"/>
    <mergeCell ref="A19:C19"/>
    <mergeCell ref="A1:H1"/>
  </mergeCells>
  <pageMargins left="0.7" right="0.7" top="0.75" bottom="0.75" header="0.3" footer="0.3"/>
  <drawing xmlns:r="http://schemas.openxmlformats.org/officeDocument/2006/relationships" r:id="rId1"/>
  <drawing r:id="rIdDrw7"/>
</worksheet>
</file>

<file path=xl/worksheets/sheet12.xml><?xml version="1.0" encoding="utf-8"?>
<worksheet xmlns:r="http://schemas.openxmlformats.org/officeDocument/2006/relationships" xmlns="http://schemas.openxmlformats.org/spreadsheetml/2006/main">
  <sheetPr>
    <tabColor rgb="FF00A6C8"/>
    <outlinePr summaryBelow="1" summaryRight="1"/>
    <pageSetUpPr/>
  </sheetPr>
  <dimension ref="A1:H23"/>
  <sheetViews>
    <sheetView showGridLines="0" zoomScale="295" zoomScaleNormal="295" workbookViewId="0">
      <pane ySplit="5" topLeftCell="A6" activePane="bottomLeft" state="frozen"/>
      <selection pane="bottomLeft" activeCell="A2" sqref="A2:H2"/>
    </sheetView>
  </sheetViews>
  <sheetFormatPr baseColWidth="10" defaultColWidth="8.83203125" defaultRowHeight="14"/>
  <cols>
    <col width="14" customWidth="1" style="48" min="1" max="1"/>
    <col width="22" customWidth="1" style="48" min="2" max="2"/>
    <col width="17" customWidth="1" style="48" min="3" max="3"/>
    <col width="20" customWidth="1" style="48" min="4" max="5"/>
    <col width="17" customWidth="1" style="48" min="6" max="6"/>
    <col width="22" customWidth="1" style="48" min="7" max="7"/>
    <col width="34" customWidth="1" style="48" min="8" max="8"/>
    <col width="3" customWidth="1" style="48" min="9" max="9"/>
    <col width="12" customWidth="1" style="48" min="10" max="18"/>
  </cols>
  <sheetData>
    <row r="1" ht="30" customHeight="1" s="48">
      <c r="A1" s="37" t="inlineStr">
        <is>
          <t>Bloomberg / First Databank Capture</t>
        </is>
      </c>
    </row>
    <row r="2" ht="34" customHeight="1" s="48">
      <c r="A2" s="38" t="inlineStr">
        <is>
          <t>Licensed terminal observations supplied by the user. This tab is intentionally separate from the public-source series and should not be redistributed beyond applicable license terms.</t>
        </is>
      </c>
    </row>
    <row r="4" ht="22" customHeight="1" s="48">
      <c r="A4" s="71" t="inlineStr">
        <is>
          <t>Zepbound package economics captured 2026-09-09</t>
        </is>
      </c>
    </row>
    <row r="5" ht="30" customHeight="1" s="48">
      <c r="A5" s="72" t="inlineStr">
        <is>
          <t>Dose</t>
        </is>
      </c>
      <c r="B5" s="72" t="inlineStr">
        <is>
          <t>Device</t>
        </is>
      </c>
      <c r="C5" s="72" t="inlineStr">
        <is>
          <t>WAC unit ($/mL)</t>
        </is>
      </c>
      <c r="D5" s="72" t="inlineStr">
        <is>
          <t>Monthly package mL</t>
        </is>
      </c>
      <c r="E5" s="72" t="inlineStr">
        <is>
          <t>Calculated WAC/fill</t>
        </is>
      </c>
      <c r="F5" s="72" t="inlineStr">
        <is>
          <t>NADAC ($/mL)</t>
        </is>
      </c>
      <c r="G5" s="72" t="inlineStr">
        <is>
          <t>Calculated NADAC/fill</t>
        </is>
      </c>
      <c r="H5" s="72" t="inlineStr">
        <is>
          <t>Package note</t>
        </is>
      </c>
    </row>
    <row r="6">
      <c r="A6" s="43" t="inlineStr">
        <is>
          <t>2.5 mg</t>
        </is>
      </c>
      <c r="B6" s="43" t="inlineStr">
        <is>
          <t>Single-dose pens (2.5 mg)</t>
        </is>
      </c>
      <c r="C6" s="21" t="n">
        <v>543.1900000000001</v>
      </c>
      <c r="D6" s="31" t="n">
        <v>2</v>
      </c>
      <c r="E6" s="21">
        <f>C6*D6</f>
        <v/>
      </c>
      <c r="F6" s="21" t="n">
        <v>525.7</v>
      </c>
      <c r="G6" s="21">
        <f>F6*D6</f>
        <v/>
      </c>
      <c r="H6" s="43" t="inlineStr">
        <is>
          <t>4 × 0.5 mL pens</t>
        </is>
      </c>
    </row>
    <row r="7">
      <c r="A7" s="45" t="inlineStr">
        <is>
          <t>5 mg</t>
        </is>
      </c>
      <c r="B7" s="45" t="inlineStr">
        <is>
          <t>Single-dose pens (5 mg)</t>
        </is>
      </c>
      <c r="C7" s="22" t="n">
        <v>543.1900000000001</v>
      </c>
      <c r="D7" s="32" t="n">
        <v>2</v>
      </c>
      <c r="E7" s="22">
        <f>C7*D7</f>
        <v/>
      </c>
      <c r="F7" s="22" t="n">
        <v>525.77</v>
      </c>
      <c r="G7" s="22">
        <f>F7*D7</f>
        <v/>
      </c>
      <c r="H7" s="45" t="inlineStr">
        <is>
          <t>4 × 0.5 mL pens</t>
        </is>
      </c>
    </row>
    <row r="8">
      <c r="A8" s="43" t="inlineStr">
        <is>
          <t>7.5 mg</t>
        </is>
      </c>
      <c r="B8" s="43" t="inlineStr">
        <is>
          <t>Single-dose pens (7.5 mg)</t>
        </is>
      </c>
      <c r="C8" s="21" t="n">
        <v>543.1900000000001</v>
      </c>
      <c r="D8" s="31" t="n">
        <v>2</v>
      </c>
      <c r="E8" s="21">
        <f>C8*D8</f>
        <v/>
      </c>
      <c r="F8" s="21" t="n">
        <v>525.78</v>
      </c>
      <c r="G8" s="21">
        <f>F8*D8</f>
        <v/>
      </c>
      <c r="H8" s="43" t="inlineStr">
        <is>
          <t>4 × 0.5 mL pens</t>
        </is>
      </c>
    </row>
    <row r="9">
      <c r="A9" s="45" t="inlineStr">
        <is>
          <t>10 mg</t>
        </is>
      </c>
      <c r="B9" s="45" t="inlineStr">
        <is>
          <t>Single-dose pens (10 mg)</t>
        </is>
      </c>
      <c r="C9" s="22" t="n">
        <v>543.1900000000001</v>
      </c>
      <c r="D9" s="32" t="n">
        <v>2</v>
      </c>
      <c r="E9" s="22">
        <f>C9*D9</f>
        <v/>
      </c>
      <c r="F9" s="22" t="n">
        <v>525.77</v>
      </c>
      <c r="G9" s="22">
        <f>F9*D9</f>
        <v/>
      </c>
      <c r="H9" s="45" t="inlineStr">
        <is>
          <t>4 × 0.5 mL pens</t>
        </is>
      </c>
    </row>
    <row r="10">
      <c r="A10" s="43" t="inlineStr">
        <is>
          <t>12.5 mg</t>
        </is>
      </c>
      <c r="B10" s="43" t="inlineStr">
        <is>
          <t>Single-dose pens (12.5 mg)</t>
        </is>
      </c>
      <c r="C10" s="21" t="n">
        <v>543.1900000000001</v>
      </c>
      <c r="D10" s="31" t="n">
        <v>2</v>
      </c>
      <c r="E10" s="21">
        <f>C10*D10</f>
        <v/>
      </c>
      <c r="F10" s="21" t="n">
        <v>526.01</v>
      </c>
      <c r="G10" s="21">
        <f>F10*D10</f>
        <v/>
      </c>
      <c r="H10" s="43" t="inlineStr">
        <is>
          <t>4 × 0.5 mL pens</t>
        </is>
      </c>
    </row>
    <row r="11">
      <c r="A11" s="45" t="inlineStr">
        <is>
          <t>15 mg</t>
        </is>
      </c>
      <c r="B11" s="45" t="inlineStr">
        <is>
          <t>Single-dose pens (15 mg)</t>
        </is>
      </c>
      <c r="C11" s="22" t="n">
        <v>543.1900000000001</v>
      </c>
      <c r="D11" s="32" t="n">
        <v>2</v>
      </c>
      <c r="E11" s="22">
        <f>C11*D11</f>
        <v/>
      </c>
      <c r="F11" s="22" t="n">
        <v>526.11</v>
      </c>
      <c r="G11" s="22">
        <f>F11*D11</f>
        <v/>
      </c>
      <c r="H11" s="45" t="inlineStr">
        <is>
          <t>4 × 0.5 mL pens</t>
        </is>
      </c>
    </row>
    <row r="12">
      <c r="A12" s="43" t="inlineStr">
        <is>
          <t>2.5 mg</t>
        </is>
      </c>
      <c r="B12" s="43" t="inlineStr">
        <is>
          <t>KwikPen (2.5 mg)</t>
        </is>
      </c>
      <c r="C12" s="21" t="n">
        <v>207.92</v>
      </c>
      <c r="D12" s="31" t="n">
        <v>2.4</v>
      </c>
      <c r="E12" s="21">
        <f>C12*D12</f>
        <v/>
      </c>
      <c r="F12" s="21" t="n">
        <v>200.95</v>
      </c>
      <c r="G12" s="21">
        <f>F12*D12</f>
        <v/>
      </c>
      <c r="H12" s="43" t="inlineStr">
        <is>
          <t>1 multidose pen / 4 doses</t>
        </is>
      </c>
    </row>
    <row r="13">
      <c r="A13" s="45" t="inlineStr">
        <is>
          <t>5 mg</t>
        </is>
      </c>
      <c r="B13" s="45" t="inlineStr">
        <is>
          <t>KwikPen (5 mg)</t>
        </is>
      </c>
      <c r="C13" s="22" t="n">
        <v>207.92</v>
      </c>
      <c r="D13" s="32" t="n">
        <v>2.4</v>
      </c>
      <c r="E13" s="22">
        <f>C13*D13</f>
        <v/>
      </c>
      <c r="F13" s="22" t="n">
        <v>200.9</v>
      </c>
      <c r="G13" s="22">
        <f>F13*D13</f>
        <v/>
      </c>
      <c r="H13" s="45" t="inlineStr">
        <is>
          <t>1 multidose pen / 4 doses</t>
        </is>
      </c>
    </row>
    <row r="14">
      <c r="A14" s="43" t="inlineStr">
        <is>
          <t>7.5 mg</t>
        </is>
      </c>
      <c r="B14" s="43" t="inlineStr">
        <is>
          <t>KwikPen (7.5 mg)</t>
        </is>
      </c>
      <c r="C14" s="21" t="n">
        <v>207.92</v>
      </c>
      <c r="D14" s="31" t="n">
        <v>2.4</v>
      </c>
      <c r="E14" s="21">
        <f>C14*D14</f>
        <v/>
      </c>
      <c r="F14" s="21" t="n">
        <v>200.7</v>
      </c>
      <c r="G14" s="21">
        <f>F14*D14</f>
        <v/>
      </c>
      <c r="H14" s="43" t="inlineStr">
        <is>
          <t>1 multidose pen / 4 doses</t>
        </is>
      </c>
    </row>
    <row r="15">
      <c r="A15" s="45" t="inlineStr">
        <is>
          <t>10 mg</t>
        </is>
      </c>
      <c r="B15" s="45" t="inlineStr">
        <is>
          <t>KwikPen (10 mg)</t>
        </is>
      </c>
      <c r="C15" s="22" t="n">
        <v>291.25</v>
      </c>
      <c r="D15" s="32" t="n">
        <v>2.4</v>
      </c>
      <c r="E15" s="22">
        <f>C15*D15</f>
        <v/>
      </c>
      <c r="F15" s="22" t="n">
        <v>281.36</v>
      </c>
      <c r="G15" s="22">
        <f>F15*D15</f>
        <v/>
      </c>
      <c r="H15" s="45" t="inlineStr">
        <is>
          <t>1 multidose pen / 4 doses</t>
        </is>
      </c>
    </row>
    <row r="16">
      <c r="A16" s="43" t="inlineStr">
        <is>
          <t>12.5 mg</t>
        </is>
      </c>
      <c r="B16" s="43" t="inlineStr">
        <is>
          <t>KwikPen (12.5 mg)</t>
        </is>
      </c>
      <c r="C16" s="21" t="n">
        <v>291.25</v>
      </c>
      <c r="D16" s="31" t="n">
        <v>2.4</v>
      </c>
      <c r="E16" s="21">
        <f>C16*D16</f>
        <v/>
      </c>
      <c r="F16" s="21" t="n">
        <v>282.51</v>
      </c>
      <c r="G16" s="21">
        <f>F16*D16</f>
        <v/>
      </c>
      <c r="H16" s="43" t="inlineStr">
        <is>
          <t>1 multidose pen / 4 doses</t>
        </is>
      </c>
    </row>
    <row r="17">
      <c r="A17" s="45" t="inlineStr">
        <is>
          <t>15 mg</t>
        </is>
      </c>
      <c r="B17" s="45" t="inlineStr">
        <is>
          <t>KwikPen (15 mg)</t>
        </is>
      </c>
      <c r="C17" s="22" t="n">
        <v>291.25</v>
      </c>
      <c r="D17" s="32" t="n">
        <v>2.4</v>
      </c>
      <c r="E17" s="22">
        <f>C17*D17</f>
        <v/>
      </c>
      <c r="F17" s="22" t="n">
        <v>280.03</v>
      </c>
      <c r="G17" s="22">
        <f>F17*D17</f>
        <v/>
      </c>
      <c r="H17" s="45" t="inlineStr">
        <is>
          <t>1 multidose pen / 4 doses</t>
        </is>
      </c>
    </row>
    <row r="20">
      <c r="A20" s="70" t="inlineStr">
        <is>
          <t>Important interpretation</t>
        </is>
      </c>
      <c r="B20" s="70" t="n"/>
      <c r="C20" s="70" t="n"/>
      <c r="D20" s="70" t="n"/>
      <c r="E20" s="70" t="n"/>
      <c r="F20" s="70" t="n"/>
      <c r="G20" s="70" t="n"/>
      <c r="H20" s="70" t="n"/>
    </row>
    <row r="21" ht="15" customHeight="1" s="48">
      <c r="A21" s="41" t="inlineStr">
        <is>
          <t>WAC Unit</t>
        </is>
      </c>
      <c r="B21" s="41" t="inlineStr">
        <is>
          <t>Per-mL database field; multiply by monthly package volume for per-fill WAC.</t>
        </is>
      </c>
      <c r="C21" s="84" t="n"/>
      <c r="D21" s="84" t="n"/>
      <c r="E21" s="84" t="n"/>
      <c r="F21" s="84" t="n"/>
      <c r="G21" s="84" t="n"/>
      <c r="H21" s="85" t="n"/>
    </row>
    <row r="22" ht="21.5" customHeight="1" s="48">
      <c r="A22" s="41" t="inlineStr">
        <is>
          <t>NADAC</t>
        </is>
      </c>
      <c r="B22" s="41" t="inlineStr">
        <is>
          <t>National Average Drug Acquisition Cost benchmark; not patient cash price and not manufacturer net revenue.</t>
        </is>
      </c>
      <c r="C22" s="84" t="n"/>
      <c r="D22" s="84" t="n"/>
      <c r="E22" s="84" t="n"/>
      <c r="F22" s="84" t="n"/>
      <c r="G22" s="84" t="n"/>
      <c r="H22" s="85" t="n"/>
    </row>
    <row r="23" ht="21.5" customHeight="1" s="48">
      <c r="A23" s="41" t="inlineStr">
        <is>
          <t>Symphony Int. WAC $</t>
        </is>
      </c>
      <c r="B23" s="41" t="inlineStr">
        <is>
          <t>The photographed monthly figures are aggregate estimated channel dollars, not a unit price; therefore they are not merged into WAC/list-price charts.</t>
        </is>
      </c>
      <c r="C23" s="84" t="n"/>
      <c r="D23" s="84" t="n"/>
      <c r="E23" s="84" t="n"/>
      <c r="F23" s="84" t="n"/>
      <c r="G23" s="84" t="n"/>
      <c r="H23" s="85" t="n"/>
    </row>
  </sheetData>
  <mergeCells count="6">
    <mergeCell ref="A4:H4"/>
    <mergeCell ref="B22:H22"/>
    <mergeCell ref="B21:H21"/>
    <mergeCell ref="A2:H2"/>
    <mergeCell ref="A1:H1"/>
    <mergeCell ref="B23:H23"/>
  </mergeCells>
  <pageMargins left="0.7" right="0.7" top="0.75" bottom="0.75" header="0.3" footer="0.3"/>
  <drawing xmlns:r="http://schemas.openxmlformats.org/officeDocument/2006/relationships" r:id="rId1"/>
  <drawing r:id="rIdDrw8"/>
</worksheet>
</file>

<file path=xl/worksheets/sheet13.xml><?xml version="1.0" encoding="utf-8"?>
<worksheet xmlns="http://schemas.openxmlformats.org/spreadsheetml/2006/main">
  <sheetPr>
    <tabColor rgb="FF00A6C8"/>
    <outlinePr summaryBelow="1" summaryRight="1"/>
    <pageSetUpPr/>
  </sheetPr>
  <dimension ref="A1:E56"/>
  <sheetViews>
    <sheetView showGridLines="0" workbookViewId="0">
      <pane ySplit="4" topLeftCell="A5" activePane="bottomLeft" state="frozen"/>
      <selection pane="bottomLeft" activeCell="C12" sqref="C12"/>
    </sheetView>
  </sheetViews>
  <sheetFormatPr baseColWidth="10" defaultColWidth="8.83203125" defaultRowHeight="14"/>
  <cols>
    <col width="11" customWidth="1" style="48" min="1" max="1"/>
    <col width="38" customWidth="1" style="48" min="2" max="2"/>
    <col width="22" customWidth="1" style="48" min="3" max="3"/>
    <col width="68" customWidth="1" style="48" min="4" max="4"/>
    <col width="92" customWidth="1" style="48" min="5" max="5"/>
  </cols>
  <sheetData>
    <row r="1" ht="30" customHeight="1" s="48">
      <c r="A1" s="37" t="inlineStr">
        <is>
          <t>Sources, Scope &amp; Method</t>
        </is>
      </c>
    </row>
    <row r="2" ht="34" customHeight="1" s="48">
      <c r="A2" s="38" t="inlineStr">
        <is>
          <t>Public URLs are listed in full for auditability. “Observed” dates are source publication/access dates unless the row specifies an effective date.</t>
        </is>
      </c>
    </row>
    <row r="4" ht="30" customHeight="1" s="48">
      <c r="A4" s="81" t="inlineStr">
        <is>
          <t>Source ID</t>
        </is>
      </c>
      <c r="B4" s="81" t="inlineStr">
        <is>
          <t>Source</t>
        </is>
      </c>
      <c r="C4" s="81" t="inlineStr">
        <is>
          <t>Access/publication date</t>
        </is>
      </c>
      <c r="D4" s="81" t="inlineStr">
        <is>
          <t>Use in workbook</t>
        </is>
      </c>
      <c r="E4" s="81" t="inlineStr">
        <is>
          <t>URL / locator</t>
        </is>
      </c>
    </row>
    <row r="5">
      <c r="A5" s="43" t="inlineStr">
        <is>
          <t>S01</t>
        </is>
      </c>
      <c r="B5" s="43" t="inlineStr">
        <is>
          <t>Uploaded research note</t>
        </is>
      </c>
      <c r="C5" s="43" t="inlineStr">
        <is>
          <t>2026-09-10</t>
        </is>
      </c>
      <c r="D5" s="43" t="inlineStr">
        <is>
          <t>User-provided research and argument map; rows relying only on it are flagged.</t>
        </is>
      </c>
      <c r="E5" s="43" t="inlineStr">
        <is>
          <t>Pasted markdown (20260910-090207).md</t>
        </is>
      </c>
    </row>
    <row r="6">
      <c r="A6" s="45" t="inlineStr">
        <is>
          <t>S02</t>
        </is>
      </c>
      <c r="B6" s="45" t="inlineStr">
        <is>
          <t>Novo Nordisk official WAC-Wegovy</t>
        </is>
      </c>
      <c r="C6" s="45" t="inlineStr">
        <is>
          <t>2026-09-10</t>
        </is>
      </c>
      <c r="D6" s="45" t="inlineStr">
        <is>
          <t>Current WAC by form/dose.</t>
        </is>
      </c>
      <c r="E6" s="45" t="inlineStr">
        <is>
          <t>https://www.novopricing.com/wegovy.html</t>
        </is>
      </c>
    </row>
    <row r="7">
      <c r="A7" s="43" t="inlineStr">
        <is>
          <t>S03</t>
        </is>
      </c>
      <c r="B7" s="43" t="inlineStr">
        <is>
          <t>Novo Nordisk official WAC — Ozempic</t>
        </is>
      </c>
      <c r="C7" s="43" t="inlineStr">
        <is>
          <t>2026-09-10</t>
        </is>
      </c>
      <c r="D7" s="43" t="inlineStr">
        <is>
          <t>Current WAC by form/dose.</t>
        </is>
      </c>
      <c r="E7" s="43" t="inlineStr">
        <is>
          <t>https://www.novopricing.com/ozempic.html</t>
        </is>
      </c>
    </row>
    <row r="8">
      <c r="A8" s="45" t="inlineStr">
        <is>
          <t>S04</t>
        </is>
      </c>
      <c r="B8" s="45" t="inlineStr">
        <is>
          <t>Novo Nordisk official WAC — Rybelsus</t>
        </is>
      </c>
      <c r="C8" s="45" t="inlineStr">
        <is>
          <t>2026-09-10</t>
        </is>
      </c>
      <c r="D8" s="45" t="inlineStr">
        <is>
          <t>Current WAC by tablet dose.</t>
        </is>
      </c>
      <c r="E8" s="45" t="inlineStr">
        <is>
          <t>https://www.novopricing.com/rybelsus.html</t>
        </is>
      </c>
    </row>
    <row r="9">
      <c r="A9" s="43" t="inlineStr">
        <is>
          <t>S05</t>
        </is>
      </c>
      <c r="B9" s="43" t="inlineStr">
        <is>
          <t>Novo Nordisk official WAC — Victoza</t>
        </is>
      </c>
      <c r="C9" s="43" t="inlineStr">
        <is>
          <t>2026-09-10</t>
        </is>
      </c>
      <c r="D9" s="43" t="inlineStr">
        <is>
          <t>Current WAC by pack size.</t>
        </is>
      </c>
      <c r="E9" s="43" t="inlineStr">
        <is>
          <t>https://www.novopricing.com/victoza.html</t>
        </is>
      </c>
    </row>
    <row r="10">
      <c r="A10" s="45" t="inlineStr">
        <is>
          <t>S06</t>
        </is>
      </c>
      <c r="B10" s="45" t="inlineStr">
        <is>
          <t>Novo Nordisk official WAC — Saxenda</t>
        </is>
      </c>
      <c r="C10" s="45" t="inlineStr">
        <is>
          <t>2026-09-10</t>
        </is>
      </c>
      <c r="D10" s="45" t="inlineStr">
        <is>
          <t>Current WAC and savings information.</t>
        </is>
      </c>
      <c r="E10" s="45" t="inlineStr">
        <is>
          <t>https://www.novopricing.com/saxenda.html</t>
        </is>
      </c>
    </row>
    <row r="11">
      <c r="A11" s="43" t="inlineStr">
        <is>
          <t>S07</t>
        </is>
      </c>
      <c r="B11" s="43" t="inlineStr">
        <is>
          <t>Lilly pricing information — Mounjaro</t>
        </is>
      </c>
      <c r="C11" s="43" t="inlineStr">
        <is>
          <t>2026-09-10</t>
        </is>
      </c>
      <c r="D11" s="43" t="inlineStr">
        <is>
          <t>Defines list price/WAC and monthly fill.</t>
        </is>
      </c>
      <c r="E11" s="43" t="inlineStr">
        <is>
          <t>https://pricinginfo.lilly.com/mounjaro</t>
        </is>
      </c>
    </row>
    <row r="12">
      <c r="A12" s="45" t="inlineStr">
        <is>
          <t>S08</t>
        </is>
      </c>
      <c r="B12" s="45" t="inlineStr">
        <is>
          <t>Lilly pricing information — Zepbound</t>
        </is>
      </c>
      <c r="C12" s="45" t="inlineStr">
        <is>
          <t>2026-09-10</t>
        </is>
      </c>
      <c r="D12" s="45" t="inlineStr">
        <is>
          <t>Defines WAC vs direct-to-patient price and $25 savings terms.</t>
        </is>
      </c>
      <c r="E12" s="45" t="inlineStr">
        <is>
          <t>https://pricinginfo.lilly.com/zepbound</t>
        </is>
      </c>
    </row>
    <row r="13">
      <c r="A13" s="43" t="inlineStr">
        <is>
          <t>S09</t>
        </is>
      </c>
      <c r="B13" s="43" t="inlineStr">
        <is>
          <t>Lilly pricing information — Trulicity</t>
        </is>
      </c>
      <c r="C13" s="43" t="inlineStr">
        <is>
          <t>2026-09-10</t>
        </is>
      </c>
      <c r="D13" s="43" t="inlineStr">
        <is>
          <t>Current list-price page and program terms.</t>
        </is>
      </c>
      <c r="E13" s="43" t="inlineStr">
        <is>
          <t>https://pricinginfo.lilly.com/trulicity</t>
        </is>
      </c>
    </row>
    <row r="14">
      <c r="A14" s="45" t="inlineStr">
        <is>
          <t>S10</t>
        </is>
      </c>
      <c r="B14" s="45" t="inlineStr">
        <is>
          <t>Lilly Zepbound savings/self-pay</t>
        </is>
      </c>
      <c r="C14" s="45" t="inlineStr">
        <is>
          <t>2026-10-07</t>
        </is>
      </c>
      <c r="D14" s="45" t="inlineStr">
        <is>
          <t>Current eligibility, devices, and self-pay starting price.</t>
        </is>
      </c>
      <c r="E14" s="45" t="inlineStr">
        <is>
          <t>https://zepbound.lilly.com/savings</t>
        </is>
      </c>
    </row>
    <row r="15">
      <c r="A15" s="43" t="inlineStr">
        <is>
          <t>S11</t>
        </is>
      </c>
      <c r="B15" s="43" t="inlineStr">
        <is>
          <t>Lilly Zepbound approval release</t>
        </is>
      </c>
      <c r="C15" s="43" t="inlineStr">
        <is>
          <t>2023-11-08</t>
        </is>
      </c>
      <c r="D15" s="43" t="inlineStr">
        <is>
          <t>Launch list price $1,059.87 and savings program.</t>
        </is>
      </c>
      <c r="E15" s="43" t="inlineStr">
        <is>
          <t>https://investor.lilly.com/news-releases/news-release-details/fda-approves-lillys-zepboundtm-tirzepatide-chronic-weight</t>
        </is>
      </c>
    </row>
    <row r="16" ht="26" customHeight="1" s="48">
      <c r="A16" s="45" t="inlineStr">
        <is>
          <t>S12</t>
        </is>
      </c>
      <c r="B16" s="45" t="inlineStr">
        <is>
          <t>Reuters — Zepbound vials</t>
        </is>
      </c>
      <c r="C16" s="45" t="inlineStr">
        <is>
          <t>2024-08-27</t>
        </is>
      </c>
      <c r="D16" s="45" t="inlineStr">
        <is>
          <t>$399/$549 launch and supply rationale.</t>
        </is>
      </c>
      <c r="E16" s="45" t="inlineStr">
        <is>
          <t>https://www.reuters.com/business/healthcare-pharmaceuticals/lilly-launches-single-dose-vials-zepbound-weight-loss-expand-us-supply-2024-08-27/</t>
        </is>
      </c>
    </row>
    <row r="17" ht="26" customHeight="1" s="48">
      <c r="A17" s="43" t="inlineStr">
        <is>
          <t>S13</t>
        </is>
      </c>
      <c r="B17" s="43" t="inlineStr">
        <is>
          <t>Reuters — Zepbound self-pay cut</t>
        </is>
      </c>
      <c r="C17" s="43" t="inlineStr">
        <is>
          <t>2025-12-01</t>
        </is>
      </c>
      <c r="D17" s="43" t="inlineStr">
        <is>
          <t>$299/$399/$449 Journey prices.</t>
        </is>
      </c>
      <c r="E17" s="43" t="inlineStr">
        <is>
          <t>https://www.reuters.com/business/healthcare-pharmaceuticals/eli-lilly-cuts-zepbound-price-widen-access-obesity-drug-2025-12-01/</t>
        </is>
      </c>
    </row>
    <row r="18" ht="26" customHeight="1" s="48">
      <c r="A18" s="45" t="inlineStr">
        <is>
          <t>S14</t>
        </is>
      </c>
      <c r="B18" s="45" t="inlineStr">
        <is>
          <t>NovoCare Pharmacy announcement</t>
        </is>
      </c>
      <c r="C18" s="45" t="inlineStr">
        <is>
          <t>2025-03-05</t>
        </is>
      </c>
      <c r="D18" s="45" t="inlineStr">
        <is>
          <t>Wegovy $499 direct-to-patient launch; prior $650 cited publicly.</t>
        </is>
      </c>
      <c r="E18" s="45" t="inlineStr">
        <is>
          <t>https://www.prnewswire.com/news-releases/novo-nordisk-introduces-novocare-pharmacy-lowering-cost-of-all-doses-of-fda-approved-wegovy-semaglutide-to-499-per-month-and-offering-easy-home-delivery-for-cash-paying-patients-302392874.html</t>
        </is>
      </c>
    </row>
    <row r="19">
      <c r="A19" s="43" t="inlineStr">
        <is>
          <t>S15</t>
        </is>
      </c>
      <c r="B19" s="43" t="inlineStr">
        <is>
          <t>AP — Novo cash-price changes</t>
        </is>
      </c>
      <c r="C19" s="43" t="inlineStr">
        <is>
          <t>2025-11-17</t>
        </is>
      </c>
      <c r="D19" s="43" t="inlineStr">
        <is>
          <t>$349 standard and temporary $199 introductory offer.</t>
        </is>
      </c>
      <c r="E19" s="43" t="inlineStr">
        <is>
          <t>https://apnews.com/article/0305653d2fa4de1fed84a4e29407d4ca</t>
        </is>
      </c>
    </row>
    <row r="20">
      <c r="A20" s="45" t="inlineStr">
        <is>
          <t>S16</t>
        </is>
      </c>
      <c r="B20" s="45" t="inlineStr">
        <is>
          <t>NovoCare — Wegovy current terms</t>
        </is>
      </c>
      <c r="C20" s="45" t="inlineStr">
        <is>
          <t>2026-10-07</t>
        </is>
      </c>
      <c r="D20" s="45" t="inlineStr">
        <is>
          <t>Current injection, HD, and oral self-pay tiers.</t>
        </is>
      </c>
      <c r="E20" s="45" t="inlineStr">
        <is>
          <t>https://www.novocare.com/patient/medicines/wegovy.html</t>
        </is>
      </c>
    </row>
    <row r="21">
      <c r="A21" s="43" t="inlineStr">
        <is>
          <t>S17</t>
        </is>
      </c>
      <c r="B21" s="43" t="inlineStr">
        <is>
          <t>Reuters — 2026 GLP-1 pricing overview</t>
        </is>
      </c>
      <c r="C21" s="43" t="inlineStr">
        <is>
          <t>2026-07-21</t>
        </is>
      </c>
      <c r="D21" s="43" t="inlineStr">
        <is>
          <t>Current public summary for Foundayo, Zepbound and Wegovy.</t>
        </is>
      </c>
      <c r="E21" s="43" t="inlineStr">
        <is>
          <t>https://www.reuters.com/business/healthcare-pharmaceuticals/pricing-availability-novo-lillys-weight-loss-drugs-2026-07-21/</t>
        </is>
      </c>
    </row>
    <row r="22" ht="26" customHeight="1" s="48">
      <c r="A22" s="45" t="inlineStr">
        <is>
          <t>S18</t>
        </is>
      </c>
      <c r="B22" s="45" t="inlineStr">
        <is>
          <t>Reuters — 2027 Novo list-price cuts</t>
        </is>
      </c>
      <c r="C22" s="45" t="inlineStr">
        <is>
          <t>2026-02-24</t>
        </is>
      </c>
      <c r="D22" s="45" t="inlineStr">
        <is>
          <t>$675 WAC effective 2027-01-01; self-pay unaffected.</t>
        </is>
      </c>
      <c r="E22" s="45" t="inlineStr">
        <is>
          <t>https://www.reuters.com/business/healthcare-pharmaceuticals/novo-nordisk-slash-us-list-prices-ozempic-wegovy-wsj-reports-2026-02-24/</t>
        </is>
      </c>
    </row>
    <row r="23">
      <c r="A23" s="43" t="inlineStr">
        <is>
          <t>S19</t>
        </is>
      </c>
      <c r="B23" s="43" t="inlineStr">
        <is>
          <t>Reuters — Foundayo approval/launch</t>
        </is>
      </c>
      <c r="C23" s="43" t="inlineStr">
        <is>
          <t>2026-04-01</t>
        </is>
      </c>
      <c r="D23" s="43" t="inlineStr">
        <is>
          <t>Approval and $149 lowest-dose self-pay launch.</t>
        </is>
      </c>
      <c r="E23" s="43" t="inlineStr">
        <is>
          <t>https://www.reuters.com/business/healthcare-pharmaceuticals/lillys-weight-loss-pill-wins-us-approval-2026-04-01/</t>
        </is>
      </c>
    </row>
    <row r="24">
      <c r="A24" s="45" t="inlineStr">
        <is>
          <t>S20</t>
        </is>
      </c>
      <c r="B24" s="45" t="inlineStr">
        <is>
          <t>AP — Medicare GLP-1 Bridge</t>
        </is>
      </c>
      <c r="C24" s="45" t="inlineStr">
        <is>
          <t>2026-07-01</t>
        </is>
      </c>
      <c r="D24" s="45" t="inlineStr">
        <is>
          <t>$50 beneficiary copay; Medicare pays the rest of the roughly $245 net price. Drugs, eligibility and end date.</t>
        </is>
      </c>
      <c r="E24" s="45" t="inlineStr">
        <is>
          <t>https://apnews.com/article/97342bc307abdbd36bf71d969ee2acb1</t>
        </is>
      </c>
    </row>
    <row r="25">
      <c r="A25" s="43" t="inlineStr">
        <is>
          <t>S21</t>
        </is>
      </c>
      <c r="B25" s="43" t="inlineStr">
        <is>
          <t>Politico — 2027 Medicare negotiated prices</t>
        </is>
      </c>
      <c r="C25" s="43" t="inlineStr">
        <is>
          <t>2025-11-25</t>
        </is>
      </c>
      <c r="D25" s="43" t="inlineStr">
        <is>
          <t>$274 Ozempic/Rybelsus and $385 Wegovy per 30 days.</t>
        </is>
      </c>
      <c r="E25" s="43" t="inlineStr">
        <is>
          <t>https://www.politico.com/news/2025/11/25/trumps-cms-touts-12b-savings-from-medicare-drug-price-negotiations-00669231</t>
        </is>
      </c>
    </row>
    <row r="26" ht="26" customHeight="1" s="48">
      <c r="A26" s="45" t="inlineStr">
        <is>
          <t>S22</t>
        </is>
      </c>
      <c r="B26" s="45" t="inlineStr">
        <is>
          <t>Reuters — Novo retained-price statement</t>
        </is>
      </c>
      <c r="C26" s="45" t="inlineStr">
        <is>
          <t>2024-05-28</t>
        </is>
      </c>
      <c r="D26" s="45" t="inlineStr">
        <is>
          <t>Novo said it retained about 60% of list after rebates/fees.</t>
        </is>
      </c>
      <c r="E26" s="45" t="inlineStr">
        <is>
          <t>https://www.reuters.com/business/healthcare-pharmaceuticals/novo-blames-us-health-system-after-criticism-over-wegovy-price-bloomberg-reports-2024-05-28/</t>
        </is>
      </c>
    </row>
    <row r="27">
      <c r="A27" s="43" t="inlineStr">
        <is>
          <t>S23</t>
        </is>
      </c>
      <c r="B27" s="43" t="inlineStr">
        <is>
          <t>Reuters — Zepbound KwikPen</t>
        </is>
      </c>
      <c r="C27" s="43" t="inlineStr">
        <is>
          <t>2026-02-23</t>
        </is>
      </c>
      <c r="D27" s="43" t="inlineStr">
        <is>
          <t>FDA approval and $299 starting self-pay price.</t>
        </is>
      </c>
      <c r="E27" s="43" t="inlineStr">
        <is>
          <t>https://www.reuters.com/business/healthcare-pharmaceuticals/lilly-launch-multi-dose-weight-loss-drug-device-us-2026-02-23/</t>
        </is>
      </c>
    </row>
    <row r="28" ht="26" customHeight="1" s="48">
      <c r="A28" s="45" t="inlineStr">
        <is>
          <t>S24</t>
        </is>
      </c>
      <c r="B28" s="45" t="inlineStr">
        <is>
          <t>Reuters — Ozempic launch</t>
        </is>
      </c>
      <c r="C28" s="45" t="inlineStr">
        <is>
          <t>2017-12-05</t>
        </is>
      </c>
      <c r="D28" s="45" t="inlineStr">
        <is>
          <t>Launch/approval report; planned $676 four-to-six-week price.</t>
        </is>
      </c>
      <c r="E28" s="45" t="inlineStr">
        <is>
          <t>https://www.reuters.com/article/business/healthcare-pharmaceuticals/fda-approves-novo-nordisk-diabetes-drug-ozempic-idUSKBN1DZ2L4/</t>
        </is>
      </c>
    </row>
    <row r="29">
      <c r="A29" s="43" t="inlineStr">
        <is>
          <t>S25</t>
        </is>
      </c>
      <c r="B29" s="43" t="inlineStr">
        <is>
          <t>User-captured Bloomberg / First Databank</t>
        </is>
      </c>
      <c r="C29" s="43" t="inlineStr">
        <is>
          <t>2026-09-09</t>
        </is>
      </c>
      <c r="D29" s="43" t="inlineStr">
        <is>
          <t>Licensed terminal observations; not public-source data.</t>
        </is>
      </c>
      <c r="E29" s="43" t="inlineStr">
        <is>
          <t>Bloomberg BI PHRM RX; screenshots supplied in chat</t>
        </is>
      </c>
    </row>
    <row r="30">
      <c r="A30" s="45" t="inlineStr">
        <is>
          <t>S26</t>
        </is>
      </c>
      <c r="B30" s="45" t="inlineStr">
        <is>
          <t>Eli Lilly release: Zepbound vial price cut</t>
        </is>
      </c>
      <c r="C30" s="45" t="inlineStr">
        <is>
          <t>2025-12-01</t>
        </is>
      </c>
      <c r="D30" s="45" t="inlineStr">
        <is>
          <t>Self Pay Journey $299/$399/$449; regular prices $599 (7.5 mg), $699 (10 mg), $849 (12.5 mg), $1,049 (15 mg).</t>
        </is>
      </c>
      <c r="E30" s="45" t="inlineStr">
        <is>
          <t>https://investor.lilly.com/news-releases/news-release-details/lilly-lowers-price-zepboundr-tirzepatide-single-dose-vials</t>
        </is>
      </c>
    </row>
    <row r="31">
      <c r="A31" s="43" t="inlineStr">
        <is>
          <t>S27</t>
        </is>
      </c>
      <c r="B31" s="43" t="inlineStr">
        <is>
          <t>Lilly Zepbound HCP coverage and savings page</t>
        </is>
      </c>
      <c r="C31" s="43" t="inlineStr">
        <is>
          <t>2026-10-07</t>
        </is>
      </c>
      <c r="D31" s="43" t="inlineStr">
        <is>
          <t>Current regular price for vials and KwikPen: $299, $399, $499 (7.5 mg), $699 (10-15 mg); $449 with 45-day refill.</t>
        </is>
      </c>
      <c r="E31" s="43" t="inlineStr">
        <is>
          <t>https://zepbound.lilly.com/hcp/coverage-savings</t>
        </is>
      </c>
    </row>
    <row r="32">
      <c r="A32" s="45" t="inlineStr">
        <is>
          <t>S28</t>
        </is>
      </c>
      <c r="B32" s="45" t="inlineStr">
        <is>
          <t>CMS: Medicare GLP-1 Bridge, information for pharmacies</t>
        </is>
      </c>
      <c r="C32" s="45" t="inlineStr">
        <is>
          <t>2026-10-07</t>
        </is>
      </c>
      <c r="D32" s="45" t="inlineStr">
        <is>
          <t>Section 402 demonstration; $50 beneficiary copay; central processor pays the pharmacy; no coupons on Bridge claims.</t>
        </is>
      </c>
      <c r="E32" s="45" t="inlineStr">
        <is>
          <t>https://www.cms.gov/medicare/coverage/prescription-drug-coverage/medicare-glp-1-bridge/information-pharmacies</t>
        </is>
      </c>
    </row>
    <row r="33">
      <c r="A33" s="43" t="inlineStr">
        <is>
          <t>S29</t>
        </is>
      </c>
      <c r="B33" s="43" t="inlineStr">
        <is>
          <t>AARP: Medicare $50 GLP-1 Bridge</t>
        </is>
      </c>
      <c r="C33" s="43" t="inlineStr">
        <is>
          <t>2026-09-09</t>
        </is>
      </c>
      <c r="D33" s="43" t="inlineStr">
        <is>
          <t>Medicare negotiated $245 per month; beneficiary pays $50 and Medicare pays $195.</t>
        </is>
      </c>
      <c r="E33" s="43" t="inlineStr">
        <is>
          <t>https://www.aarp.org/medicare/medicare-glp1-bridge-program-eligibility/</t>
        </is>
      </c>
    </row>
    <row r="34">
      <c r="A34" s="45" t="inlineStr">
        <is>
          <t>S30</t>
        </is>
      </c>
      <c r="B34" s="45" t="inlineStr">
        <is>
          <t>Wegovy.com: cost and coverage</t>
        </is>
      </c>
      <c r="C34" s="45" t="inlineStr">
        <is>
          <t>2026-10-07</t>
        </is>
      </c>
      <c r="D34" s="45" t="inlineStr">
        <is>
          <t>Tablets $149 (1.5 mg), $199 (4 mg), $299 (9 and 25 mg); 4 mg was $149 through Aug 31, 2026; pen intro $199 through Dec 31, 2026.</t>
        </is>
      </c>
      <c r="E34" s="45" t="inlineStr">
        <is>
          <t>https://www.wegovy.com/obesity/what-to-pay-for-wegovy.html</t>
        </is>
      </c>
    </row>
    <row r="35"/>
    <row r="36"/>
    <row r="37" ht="22" customHeight="1" s="48">
      <c r="A37" s="39" t="inlineStr">
        <is>
          <t>Methodology and limitations</t>
        </is>
      </c>
    </row>
    <row r="38" ht="15" customHeight="1" s="48">
      <c r="A38" s="81" t="inlineStr">
        <is>
          <t>#</t>
        </is>
      </c>
      <c r="B38" s="81" t="inlineStr">
        <is>
          <t>Method item</t>
        </is>
      </c>
      <c r="C38" s="81" t="inlineStr">
        <is>
          <t>Rule</t>
        </is>
      </c>
      <c r="D38" s="84" t="n"/>
      <c r="E38" s="85" t="n"/>
    </row>
    <row r="39" ht="54" customHeight="1" s="48">
      <c r="A39" s="43" t="inlineStr">
        <is>
          <t>1</t>
        </is>
      </c>
      <c r="B39" s="43" t="inlineStr">
        <is>
          <t>Scope</t>
        </is>
      </c>
      <c r="C39" s="43" t="inlineStr">
        <is>
          <t>U.S. branded GLP-1 receptor agonists plus tirzepatide (dual GIP/GLP-1) and fixed-ratio insulin/GLP-1 combinations. Generics and compounded products are excluded from the branded time series.</t>
        </is>
      </c>
      <c r="D39" s="84" t="n"/>
      <c r="E39" s="85" t="n"/>
    </row>
    <row r="40" ht="54" customHeight="1" s="48">
      <c r="A40" s="45" t="inlineStr">
        <is>
          <t>2</t>
        </is>
      </c>
      <c r="B40" s="45" t="inlineStr">
        <is>
          <t>Event series</t>
        </is>
      </c>
      <c r="C40" s="45" t="inlineStr">
        <is>
          <t>Price history is built from dated public observations. Between events, chart helpers carry the last observed value forward only after a product has a public observation.</t>
        </is>
      </c>
      <c r="D40" s="84" t="n"/>
      <c r="E40" s="85" t="n"/>
    </row>
    <row r="41" ht="43.25" customHeight="1" s="48">
      <c r="A41" s="43" t="inlineStr">
        <is>
          <t>3</t>
        </is>
      </c>
      <c r="B41" s="43" t="inlineStr">
        <is>
          <t>No invented history</t>
        </is>
      </c>
      <c r="C41" s="43" t="inlineStr">
        <is>
          <t>Blank means unavailable/not reconstructed. A current WAC does not prove the same WAC applied in every prior month.</t>
        </is>
      </c>
      <c r="D41" s="84" t="n"/>
      <c r="E41" s="85" t="n"/>
    </row>
    <row r="42" ht="43.25" customHeight="1" s="48">
      <c r="A42" s="45" t="inlineStr">
        <is>
          <t>4</t>
        </is>
      </c>
      <c r="B42" s="45" t="inlineStr">
        <is>
          <t>Comparability</t>
        </is>
      </c>
      <c r="C42" s="45" t="inlineStr">
        <is>
          <t>Per-fill, 28-day, 30-day, pack and per-mL units are preserved. Device/package differences can make a direct-price vs WAC comparison imperfect.</t>
        </is>
      </c>
      <c r="D42" s="84" t="n"/>
      <c r="E42" s="85" t="n"/>
    </row>
    <row r="43" ht="54" customHeight="1" s="48">
      <c r="A43" s="43" t="inlineStr">
        <is>
          <t>5</t>
        </is>
      </c>
      <c r="B43" s="43" t="inlineStr">
        <is>
          <t>Program prices</t>
        </is>
      </c>
      <c r="C43" s="43" t="inlineStr">
        <is>
          <t>Self-pay and savings-card prices are offers, not universal prices. Eligibility, dose, refill timing, pharmacy, taxes/fees and program termination clauses can change actual payment.</t>
        </is>
      </c>
      <c r="D43" s="84" t="n"/>
      <c r="E43" s="85" t="n"/>
    </row>
    <row r="44" ht="54" customHeight="1" s="48">
      <c r="A44" s="45" t="inlineStr">
        <is>
          <t>6</t>
        </is>
      </c>
      <c r="B44" s="45" t="inlineStr">
        <is>
          <t>Company net price</t>
        </is>
      </c>
      <c r="C44" s="45" t="inlineStr">
        <is>
          <t>No exact product-level net price is inferred from list price. The $580 Evercore estimate is retained only as a challenged analyst estimate in Company Statements.</t>
        </is>
      </c>
      <c r="D44" s="84" t="n"/>
      <c r="E44" s="85" t="n"/>
    </row>
    <row r="45" ht="43.25" customHeight="1" s="48">
      <c r="A45" s="43" t="inlineStr">
        <is>
          <t>7</t>
        </is>
      </c>
      <c r="B45" s="43" t="inlineStr">
        <is>
          <t>Public vs licensed</t>
        </is>
      </c>
      <c r="C45" s="43" t="inlineStr">
        <is>
          <t>Main price tabs use public observations. Bloomberg/First Databank observations supplied by the user are isolated on Bloomberg Capture.</t>
        </is>
      </c>
      <c r="D45" s="84" t="n"/>
      <c r="E45" s="85" t="n"/>
    </row>
    <row r="46" ht="32.5" customHeight="1" s="48">
      <c r="A46" s="45" t="inlineStr">
        <is>
          <t>8</t>
        </is>
      </c>
      <c r="B46" s="45" t="inlineStr">
        <is>
          <t>Cutoff</t>
        </is>
      </c>
      <c r="C46" s="45" t="inlineStr">
        <is>
          <t>Self-pay and program prices re-checked 2026-10-07. WAC, NADAC and licensed fields are as last observed on the dates shown. Announced 2027 prices are included with future status and are not represented as current.</t>
        </is>
      </c>
      <c r="D46" s="84" t="n"/>
      <c r="E46" s="85" t="n"/>
    </row>
    <row r="47" ht="54" customHeight="1" s="48">
      <c r="A47" s="43" t="inlineStr">
        <is>
          <t>9</t>
        </is>
      </c>
      <c r="B47" s="43" t="inlineStr">
        <is>
          <t>Research note</t>
        </is>
      </c>
      <c r="C47" s="43" t="inlineStr">
        <is>
          <t>The uploaded opinion-piece research is the narrative basis. Items without a separately verified public URL are labeled research-provided rather than silently treated as verified.</t>
        </is>
      </c>
      <c r="D47" s="84" t="n"/>
      <c r="E47" s="85" t="n"/>
    </row>
    <row r="48"/>
    <row r="49"/>
    <row r="50" ht="22" customHeight="1" s="48">
      <c r="A50" s="39" t="inlineStr">
        <is>
          <t>Known public-data gaps</t>
        </is>
      </c>
    </row>
    <row r="51" ht="39.5" customHeight="1" s="48">
      <c r="A51" s="46" t="inlineStr">
        <is>
          <t>Gap</t>
        </is>
      </c>
      <c r="B51" s="46" t="inlineStr">
        <is>
          <t>Why it remains blank</t>
        </is>
      </c>
      <c r="C51" s="46" t="inlineStr">
        <is>
          <t>What would close it</t>
        </is>
      </c>
    </row>
    <row r="52" ht="132" customHeight="1" s="48">
      <c r="A52" s="42" t="inlineStr">
        <is>
          <t>Legacy launch WAC</t>
        </is>
      </c>
      <c r="B52" s="42" t="inlineStr">
        <is>
          <t>Public search did not yield a reliable dated numeric event for every older brand.</t>
        </is>
      </c>
      <c r="C52" s="42" t="inlineStr">
        <is>
          <t>Manufacturer historical price disclosure, SSR Health/AnlySource/FDB licensed history, or state WAC filings.</t>
        </is>
      </c>
    </row>
    <row r="53" ht="79.25" customHeight="1" s="48">
      <c r="A53" s="42" t="inlineStr">
        <is>
          <t>Exact pharmacy retail cash history</t>
        </is>
      </c>
      <c r="B53" s="42" t="inlineStr">
        <is>
          <t>Prices vary by pharmacy, geography, coupon and date.</t>
        </is>
      </c>
      <c r="C53" s="42" t="inlineStr">
        <is>
          <t>Timestamped pharmacy/aggregator export with NDC and ZIP.</t>
        </is>
      </c>
    </row>
    <row r="54" ht="92.5" customHeight="1" s="48">
      <c r="A54" s="42" t="inlineStr">
        <is>
          <t>Exact commercial net price</t>
        </is>
      </c>
      <c r="B54" s="42" t="inlineStr">
        <is>
          <t>Confidential rebate contracts and package-mix effects.</t>
        </is>
      </c>
      <c r="C54" s="42" t="inlineStr">
        <is>
          <t>Manufacturer disclosure or audited product-level net-sales/volume reconciliation.</t>
        </is>
      </c>
    </row>
    <row r="55" ht="145.25" customHeight="1" s="48">
      <c r="A55" s="42" t="inlineStr">
        <is>
          <t>Complete NADAC time series</t>
        </is>
      </c>
      <c r="B55" s="42" t="inlineStr">
        <is>
          <t>Not extracted in this build; only user-captured terminal observations are shown separately.</t>
        </is>
      </c>
      <c r="C55" s="42" t="inlineStr">
        <is>
          <t>CMS NADAC weekly file joined by NDC11 and effective date.</t>
        </is>
      </c>
    </row>
    <row r="56" ht="66" customHeight="1" s="48">
      <c r="A56" s="42" t="inlineStr">
        <is>
          <t>PBM rebate by product</t>
        </is>
      </c>
      <c r="B56" s="42" t="inlineStr">
        <is>
          <t>Contract terms are generally confidential.</t>
        </is>
      </c>
      <c r="C56" s="42" t="inlineStr">
        <is>
          <t>Public contract/disclosure or manufacturer/PBM product-level filing.</t>
        </is>
      </c>
    </row>
  </sheetData>
  <mergeCells count="20">
    <mergeCell ref="C55:E55"/>
    <mergeCell ref="C46:E46"/>
    <mergeCell ref="C45:E45"/>
    <mergeCell ref="A1:E1"/>
    <mergeCell ref="A50:E50"/>
    <mergeCell ref="C56:E56"/>
    <mergeCell ref="C51:E51"/>
    <mergeCell ref="C41:E41"/>
    <mergeCell ref="C44:E44"/>
    <mergeCell ref="C53:E53"/>
    <mergeCell ref="C43:E43"/>
    <mergeCell ref="A2:E2"/>
    <mergeCell ref="C42:E42"/>
    <mergeCell ref="C54:E54"/>
    <mergeCell ref="A37:E37"/>
    <mergeCell ref="C39:E39"/>
    <mergeCell ref="C47:E47"/>
    <mergeCell ref="C38:E38"/>
    <mergeCell ref="C40:E40"/>
    <mergeCell ref="C52:E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2026-09-28T20:20:31Z</dcterms:created>
  <dcterms:modified xmlns:dcterms="http://purl.org/dc/terms/" xmlns:xsi="http://www.w3.org/2001/XMLSchema-instance" xsi:type="dcterms:W3CDTF">2026-10-07T07:57:08Z</dcterms:modified>
  <cp:lastModifiedBy>Araceli Vargas</cp:lastModifiedBy>
</cp:coreProperties>
</file>